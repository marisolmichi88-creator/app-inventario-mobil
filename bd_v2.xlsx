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RESUMEN" sheetId="2" state="visible" r:id="rId2"/>
    <sheet name="REVISAR" sheetId="3" state="visible" r:id="rId3"/>
  </sheets>
  <definedNames>
    <definedName name="_xlnm._FilterDatabase" localSheetId="0" hidden="1">'INVENTARIO'!$A$1:$P$133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$&quot;#,##0.00"/>
    <numFmt numFmtId="167" formatCode="&quot;S/ &quot;#,##0.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3864"/>
      <sz val="14"/>
    </font>
    <font>
      <b val="1"/>
    </font>
    <font/>
    <font>
      <b val="1"/>
      <color rgb="001F3864"/>
      <sz val="12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15" customWidth="1" min="4" max="4"/>
    <col width="12" customWidth="1" min="5" max="5"/>
    <col width="48" customWidth="1" min="6" max="6"/>
    <col width="16" customWidth="1" min="7" max="7"/>
    <col width="20" customWidth="1" min="8" max="8"/>
    <col width="8" customWidth="1" min="9" max="9"/>
    <col width="9" customWidth="1" min="10" max="10"/>
    <col width="11" customWidth="1" min="11" max="11"/>
    <col width="11" customWidth="1" min="12" max="12"/>
    <col width="13" customWidth="1" min="13" max="13"/>
    <col width="14" customWidth="1" min="14" max="14"/>
    <col width="16" customWidth="1" min="15" max="15"/>
    <col width="12" customWidth="1" min="16" max="16"/>
  </cols>
  <sheetData>
    <row r="1" ht="26" customHeight="1">
      <c r="A1" s="1" t="inlineStr">
        <is>
          <t>ITEM</t>
        </is>
      </c>
      <c r="B1" s="1" t="inlineStr">
        <is>
          <t>CODIGO</t>
        </is>
      </c>
      <c r="C1" s="1" t="inlineStr">
        <is>
          <t>TIPO CODIGO</t>
        </is>
      </c>
      <c r="D1" s="1" t="inlineStr">
        <is>
          <t>ALMACEN</t>
        </is>
      </c>
      <c r="E1" s="1" t="inlineStr">
        <is>
          <t>TIPO</t>
        </is>
      </c>
      <c r="F1" s="1" t="inlineStr">
        <is>
          <t>PRODUCTO</t>
        </is>
      </c>
      <c r="G1" s="1" t="inlineStr">
        <is>
          <t>MARCA</t>
        </is>
      </c>
      <c r="H1" s="1" t="inlineStr">
        <is>
          <t>MODELO</t>
        </is>
      </c>
      <c r="I1" s="1" t="inlineStr">
        <is>
          <t>UM</t>
        </is>
      </c>
      <c r="J1" s="1" t="inlineStr">
        <is>
          <t>STOCK</t>
        </is>
      </c>
      <c r="K1" s="1" t="inlineStr">
        <is>
          <t>MONEDA</t>
        </is>
      </c>
      <c r="L1" s="1" t="inlineStr">
        <is>
          <t>CU</t>
        </is>
      </c>
      <c r="M1" s="1" t="inlineStr">
        <is>
          <t>CP</t>
        </is>
      </c>
      <c r="N1" s="1" t="inlineStr">
        <is>
          <t>FECHA COMPRA</t>
        </is>
      </c>
      <c r="O1" s="1" t="inlineStr">
        <is>
          <t>ORIGEN</t>
        </is>
      </c>
      <c r="P1" s="1" t="inlineStr">
        <is>
          <t>ESTADO</t>
        </is>
      </c>
    </row>
    <row r="2">
      <c r="A2" s="2" t="n">
        <v>1</v>
      </c>
      <c r="B2" s="3" t="inlineStr">
        <is>
          <t>F06227027162</t>
        </is>
      </c>
      <c r="C2" s="2" t="inlineStr">
        <is>
          <t>FABRICA</t>
        </is>
      </c>
      <c r="D2" s="4" t="inlineStr">
        <is>
          <t>IMPORTADOS</t>
        </is>
      </c>
      <c r="E2" s="4" t="inlineStr">
        <is>
          <t>EQUIPO</t>
        </is>
      </c>
      <c r="F2" s="5" t="inlineStr">
        <is>
          <t>INVERSOR DE FRECUENCIA SOLAR HIBRIDO 2.2 KW MONOFASICO 220 V</t>
        </is>
      </c>
      <c r="G2" s="4" t="inlineStr">
        <is>
          <t>INVT</t>
        </is>
      </c>
      <c r="H2" s="4" t="inlineStr">
        <is>
          <t>GD100-2R2G-2-PV</t>
        </is>
      </c>
      <c r="I2" s="2" t="inlineStr">
        <is>
          <t>UND</t>
        </is>
      </c>
      <c r="J2" s="2" t="n">
        <v>92</v>
      </c>
      <c r="K2" s="2" t="inlineStr">
        <is>
          <t>DOLARES</t>
        </is>
      </c>
      <c r="L2" s="6" t="n">
        <v>60</v>
      </c>
      <c r="M2" s="6">
        <f>IF(OR(J2="",L2=""),"",ROUND(J2*L2,2))</f>
        <v/>
      </c>
      <c r="N2" s="7" t="n">
        <v>45958</v>
      </c>
      <c r="O2" s="4" t="inlineStr">
        <is>
          <t>EXCEL ORIGINAL</t>
        </is>
      </c>
      <c r="P2" s="2">
        <f>IF(OR(K2="",L2=""),"FALTA","OK")</f>
        <v/>
      </c>
    </row>
    <row r="3">
      <c r="A3" s="2" t="n">
        <v>2</v>
      </c>
      <c r="B3" s="3" t="inlineStr">
        <is>
          <t>@BBMO5B0100030013</t>
        </is>
      </c>
      <c r="C3" s="2" t="inlineStr">
        <is>
          <t>FABRICA</t>
        </is>
      </c>
      <c r="D3" s="4" t="inlineStr">
        <is>
          <t>IMPORTADOS</t>
        </is>
      </c>
      <c r="E3" s="4" t="inlineStr">
        <is>
          <t>EQUIPO</t>
        </is>
      </c>
      <c r="F3" s="5" t="inlineStr">
        <is>
          <t>INVERSOR DE FRECUENCIA SOLAR HIBRIDO 5.5 KW MONOFASICO 220 V</t>
        </is>
      </c>
      <c r="G3" s="4" t="inlineStr">
        <is>
          <t>USFULL</t>
        </is>
      </c>
      <c r="H3" s="4" t="inlineStr">
        <is>
          <t>FU9000SI-5R5G-S2</t>
        </is>
      </c>
      <c r="I3" s="2" t="inlineStr">
        <is>
          <t>UND</t>
        </is>
      </c>
      <c r="J3" s="2" t="n">
        <v>32</v>
      </c>
      <c r="K3" s="2" t="inlineStr">
        <is>
          <t>DOLARES</t>
        </is>
      </c>
      <c r="L3" s="6" t="n">
        <v>198</v>
      </c>
      <c r="M3" s="6">
        <f>IF(OR(J3="",L3=""),"",ROUND(J3*L3,2))</f>
        <v/>
      </c>
      <c r="N3" s="7" t="n">
        <v>45958</v>
      </c>
      <c r="O3" s="4" t="inlineStr">
        <is>
          <t>EXCEL ORIGINAL</t>
        </is>
      </c>
      <c r="P3" s="2">
        <f>IF(OR(K3="",L3=""),"FALTA","OK")</f>
        <v/>
      </c>
    </row>
    <row r="4">
      <c r="A4" s="2" t="n">
        <v>3</v>
      </c>
      <c r="B4" s="3" t="inlineStr">
        <is>
          <t>@BBMO5B0100040024</t>
        </is>
      </c>
      <c r="C4" s="2" t="inlineStr">
        <is>
          <t>FABRICA</t>
        </is>
      </c>
      <c r="D4" s="4" t="inlineStr">
        <is>
          <t>IMPORTADOS</t>
        </is>
      </c>
      <c r="E4" s="4" t="inlineStr">
        <is>
          <t>EQUIPO</t>
        </is>
      </c>
      <c r="F4" s="5" t="inlineStr">
        <is>
          <t>INVERSOR DE FRECUENCIA SOLAR HIBRIDO 5.5 KW TRIFASICO 380 V</t>
        </is>
      </c>
      <c r="G4" s="4" t="inlineStr">
        <is>
          <t>USFULL</t>
        </is>
      </c>
      <c r="H4" s="4" t="inlineStr">
        <is>
          <t>FU9000SI-5R5G-9</t>
        </is>
      </c>
      <c r="I4" s="2" t="inlineStr">
        <is>
          <t>UND</t>
        </is>
      </c>
      <c r="J4" s="2" t="n">
        <v>32</v>
      </c>
      <c r="K4" s="2" t="inlineStr">
        <is>
          <t>DOLARES</t>
        </is>
      </c>
      <c r="L4" s="6" t="n">
        <v>128</v>
      </c>
      <c r="M4" s="6">
        <f>IF(OR(J4="",L4=""),"",ROUND(J4*L4,2))</f>
        <v/>
      </c>
      <c r="N4" s="7" t="n">
        <v>45958</v>
      </c>
      <c r="O4" s="4" t="inlineStr">
        <is>
          <t>EXCEL ORIGINAL</t>
        </is>
      </c>
      <c r="P4" s="2">
        <f>IF(OR(K4="",L4=""),"FALTA","OK")</f>
        <v/>
      </c>
    </row>
    <row r="5">
      <c r="A5" s="2" t="n">
        <v>4</v>
      </c>
      <c r="B5" s="3" t="inlineStr">
        <is>
          <t>6019241016168</t>
        </is>
      </c>
      <c r="C5" s="2" t="inlineStr">
        <is>
          <t>FABRICA</t>
        </is>
      </c>
      <c r="D5" s="4" t="inlineStr">
        <is>
          <t>IMPORTADOS</t>
        </is>
      </c>
      <c r="E5" s="4" t="inlineStr">
        <is>
          <t>EQUIPO</t>
        </is>
      </c>
      <c r="F5" s="5" t="inlineStr">
        <is>
          <t>INVERSOR DE FRECUENCIA SOLAR HIBRIDO 11 KW TRIFASICO 380 V</t>
        </is>
      </c>
      <c r="G5" s="4" t="inlineStr">
        <is>
          <t>USFULL</t>
        </is>
      </c>
      <c r="H5" s="4" t="inlineStr">
        <is>
          <t>FU9000SI-011G-4</t>
        </is>
      </c>
      <c r="I5" s="2" t="inlineStr">
        <is>
          <t>UND</t>
        </is>
      </c>
      <c r="J5" s="2" t="n">
        <v>28</v>
      </c>
      <c r="K5" s="2" t="inlineStr">
        <is>
          <t>DOLARES</t>
        </is>
      </c>
      <c r="L5" s="6" t="n">
        <v>170</v>
      </c>
      <c r="M5" s="6">
        <f>IF(OR(J5="",L5=""),"",ROUND(J5*L5,2))</f>
        <v/>
      </c>
      <c r="N5" s="7" t="n">
        <v>45958</v>
      </c>
      <c r="O5" s="4" t="inlineStr">
        <is>
          <t>EXCEL ORIGINAL</t>
        </is>
      </c>
      <c r="P5" s="2">
        <f>IF(OR(K5="",L5=""),"FALTA","OK")</f>
        <v/>
      </c>
    </row>
    <row r="6">
      <c r="A6" s="2" t="n">
        <v>5</v>
      </c>
      <c r="B6" s="3" t="inlineStr">
        <is>
          <t>@BBMO5B0100130006</t>
        </is>
      </c>
      <c r="C6" s="2" t="inlineStr">
        <is>
          <t>FABRICA</t>
        </is>
      </c>
      <c r="D6" s="4" t="inlineStr">
        <is>
          <t>IMPORTADOS</t>
        </is>
      </c>
      <c r="E6" s="4" t="inlineStr">
        <is>
          <t>EQUIPO</t>
        </is>
      </c>
      <c r="F6" s="5" t="inlineStr">
        <is>
          <t>INVERSOR DE FRECUENCIA SOLAR HIBRIDO 22 KW TRIFASICO 380 V</t>
        </is>
      </c>
      <c r="G6" s="4" t="inlineStr">
        <is>
          <t>USFULL</t>
        </is>
      </c>
      <c r="H6" s="4" t="inlineStr">
        <is>
          <t>FU9000SI-022G-9</t>
        </is>
      </c>
      <c r="I6" s="2" t="inlineStr">
        <is>
          <t>UND</t>
        </is>
      </c>
      <c r="J6" s="2" t="n">
        <v>6</v>
      </c>
      <c r="K6" s="2" t="inlineStr">
        <is>
          <t>DOLARES</t>
        </is>
      </c>
      <c r="L6" s="6" t="n">
        <v>303</v>
      </c>
      <c r="M6" s="6">
        <f>IF(OR(J6="",L6=""),"",ROUND(J6*L6,2))</f>
        <v/>
      </c>
      <c r="N6" s="7" t="n">
        <v>45958</v>
      </c>
      <c r="O6" s="4" t="inlineStr">
        <is>
          <t>EXCEL ORIGINAL</t>
        </is>
      </c>
      <c r="P6" s="2">
        <f>IF(OR(K6="",L6=""),"FALTA","OK")</f>
        <v/>
      </c>
    </row>
    <row r="7">
      <c r="A7" s="2" t="n">
        <v>6</v>
      </c>
      <c r="B7" s="3" t="inlineStr">
        <is>
          <t>@BBMO5B0100140002</t>
        </is>
      </c>
      <c r="C7" s="2" t="inlineStr">
        <is>
          <t>FABRICA</t>
        </is>
      </c>
      <c r="D7" s="4" t="inlineStr">
        <is>
          <t>IMPORTADOS</t>
        </is>
      </c>
      <c r="E7" s="4" t="inlineStr">
        <is>
          <t>EQUIPO</t>
        </is>
      </c>
      <c r="F7" s="5" t="inlineStr">
        <is>
          <t>INVERSOR DE FRECUENCIA SOLAR HIBRIDO 55 KW TRIFASICO 380 V</t>
        </is>
      </c>
      <c r="G7" s="4" t="inlineStr">
        <is>
          <t>USFULL</t>
        </is>
      </c>
      <c r="H7" s="4" t="inlineStr">
        <is>
          <t>FU9000SI-055G-9</t>
        </is>
      </c>
      <c r="I7" s="2" t="inlineStr">
        <is>
          <t>UND</t>
        </is>
      </c>
      <c r="J7" s="2" t="n">
        <v>5</v>
      </c>
      <c r="K7" s="2" t="inlineStr">
        <is>
          <t>DOLARES</t>
        </is>
      </c>
      <c r="L7" s="6" t="n">
        <v>650</v>
      </c>
      <c r="M7" s="6">
        <f>IF(OR(J7="",L7=""),"",ROUND(J7*L7,2))</f>
        <v/>
      </c>
      <c r="N7" s="7" t="n">
        <v>45958</v>
      </c>
      <c r="O7" s="4" t="inlineStr">
        <is>
          <t>EXCEL ORIGINAL</t>
        </is>
      </c>
      <c r="P7" s="2">
        <f>IF(OR(K7="",L7=""),"FALTA","OK")</f>
        <v/>
      </c>
    </row>
    <row r="8">
      <c r="A8" s="2" t="n">
        <v>7</v>
      </c>
      <c r="B8" s="3" t="inlineStr">
        <is>
          <t>@BBMO5B0100150004</t>
        </is>
      </c>
      <c r="C8" s="2" t="inlineStr">
        <is>
          <t>FABRICA</t>
        </is>
      </c>
      <c r="D8" s="4" t="inlineStr">
        <is>
          <t>IMPORTADOS</t>
        </is>
      </c>
      <c r="E8" s="4" t="inlineStr">
        <is>
          <t>EQUIPO</t>
        </is>
      </c>
      <c r="F8" s="5" t="inlineStr">
        <is>
          <t>INVERSOR DE FRECUENCIA SOLAR HIBRIDO 75 KW TRIFASICO 380 V</t>
        </is>
      </c>
      <c r="G8" s="4" t="inlineStr">
        <is>
          <t>USFULL</t>
        </is>
      </c>
      <c r="H8" s="4" t="inlineStr">
        <is>
          <t>FU9000SI-075G-9</t>
        </is>
      </c>
      <c r="I8" s="2" t="inlineStr">
        <is>
          <t>UND</t>
        </is>
      </c>
      <c r="J8" s="2" t="n">
        <v>4</v>
      </c>
      <c r="K8" s="2" t="inlineStr">
        <is>
          <t>DOLARES</t>
        </is>
      </c>
      <c r="L8" s="6" t="n">
        <v>850</v>
      </c>
      <c r="M8" s="6">
        <f>IF(OR(J8="",L8=""),"",ROUND(J8*L8,2))</f>
        <v/>
      </c>
      <c r="N8" s="7" t="n">
        <v>45958</v>
      </c>
      <c r="O8" s="4" t="inlineStr">
        <is>
          <t>EXCEL ORIGINAL</t>
        </is>
      </c>
      <c r="P8" s="2">
        <f>IF(OR(K8="",L8=""),"FALTA","OK")</f>
        <v/>
      </c>
    </row>
    <row r="9">
      <c r="A9" s="2" t="n">
        <v>8</v>
      </c>
      <c r="B9" s="3" t="inlineStr">
        <is>
          <t>@BBMO5B0100050003</t>
        </is>
      </c>
      <c r="C9" s="2" t="inlineStr">
        <is>
          <t>FABRICA</t>
        </is>
      </c>
      <c r="D9" s="4" t="inlineStr">
        <is>
          <t>IMPORTADOS</t>
        </is>
      </c>
      <c r="E9" s="4" t="inlineStr">
        <is>
          <t>EQUIPO</t>
        </is>
      </c>
      <c r="F9" s="5" t="inlineStr">
        <is>
          <t>INVERSOR DE FRECUENCIA SOLAR HIBRIDO 110 KW TRIFASICO 380 V</t>
        </is>
      </c>
      <c r="G9" s="4" t="inlineStr">
        <is>
          <t>USFULL</t>
        </is>
      </c>
      <c r="H9" s="4" t="inlineStr">
        <is>
          <t>FU9000SI-110G-9</t>
        </is>
      </c>
      <c r="I9" s="2" t="inlineStr">
        <is>
          <t>UND</t>
        </is>
      </c>
      <c r="J9" s="2" t="n">
        <v>5</v>
      </c>
      <c r="K9" s="2" t="inlineStr">
        <is>
          <t>DOLARES</t>
        </is>
      </c>
      <c r="L9" s="6" t="n">
        <v>1160</v>
      </c>
      <c r="M9" s="6">
        <f>IF(OR(J9="",L9=""),"",ROUND(J9*L9,2))</f>
        <v/>
      </c>
      <c r="N9" s="7" t="n">
        <v>45958</v>
      </c>
      <c r="O9" s="4" t="inlineStr">
        <is>
          <t>EXCEL ORIGINAL</t>
        </is>
      </c>
      <c r="P9" s="2">
        <f>IF(OR(K9="",L9=""),"FALTA","OK")</f>
        <v/>
      </c>
    </row>
    <row r="10">
      <c r="A10" s="2" t="n">
        <v>9</v>
      </c>
      <c r="B10" s="3" t="inlineStr">
        <is>
          <t>PROENERGIM-009</t>
        </is>
      </c>
      <c r="C10" s="2" t="inlineStr">
        <is>
          <t>QR INTERNO</t>
        </is>
      </c>
      <c r="D10" s="4" t="inlineStr">
        <is>
          <t>IMPORTADOS</t>
        </is>
      </c>
      <c r="E10" s="4" t="inlineStr">
        <is>
          <t>EQUIPO</t>
        </is>
      </c>
      <c r="F10" s="5" t="inlineStr">
        <is>
          <t>INVERSOR DE FRECUENCIA SOLAR HIBRIDO 200 KW TRIFASICO 380 V</t>
        </is>
      </c>
      <c r="G10" s="4" t="inlineStr"/>
      <c r="H10" s="4" t="inlineStr"/>
      <c r="I10" s="2" t="inlineStr">
        <is>
          <t>UND</t>
        </is>
      </c>
      <c r="J10" s="2" t="n">
        <v>1</v>
      </c>
      <c r="K10" s="2" t="inlineStr">
        <is>
          <t>DOLARES</t>
        </is>
      </c>
      <c r="L10" s="6" t="n">
        <v>2070</v>
      </c>
      <c r="M10" s="6">
        <f>IF(OR(J10="",L10=""),"",ROUND(J10*L10,2))</f>
        <v/>
      </c>
      <c r="N10" s="7" t="n">
        <v>45958</v>
      </c>
      <c r="O10" s="4" t="inlineStr">
        <is>
          <t>EXCEL ORIGINAL</t>
        </is>
      </c>
      <c r="P10" s="2">
        <f>IF(OR(K10="",L10=""),"FALTA","OK")</f>
        <v/>
      </c>
    </row>
    <row r="11">
      <c r="A11" s="2" t="n">
        <v>10</v>
      </c>
      <c r="B11" s="3" t="inlineStr">
        <is>
          <t>NO 3010705523</t>
        </is>
      </c>
      <c r="C11" s="2" t="inlineStr">
        <is>
          <t>FABRICA</t>
        </is>
      </c>
      <c r="D11" s="4" t="inlineStr">
        <is>
          <t>IMPORTADOS</t>
        </is>
      </c>
      <c r="E11" s="4" t="inlineStr">
        <is>
          <t>EQUIPO</t>
        </is>
      </c>
      <c r="F11" s="5" t="inlineStr">
        <is>
          <t>DISYUNTOR DE CC , 2 POLOS, 600V CC. 16 A</t>
        </is>
      </c>
      <c r="G11" s="4" t="inlineStr">
        <is>
          <t>USFULL</t>
        </is>
      </c>
      <c r="H11" s="4" t="inlineStr">
        <is>
          <t>FMB7N-63PV</t>
        </is>
      </c>
      <c r="I11" s="2" t="inlineStr">
        <is>
          <t>UND</t>
        </is>
      </c>
      <c r="J11" s="2" t="n">
        <v>360</v>
      </c>
      <c r="K11" s="2" t="inlineStr">
        <is>
          <t>DOLARES</t>
        </is>
      </c>
      <c r="L11" s="6" t="n">
        <v>4.4</v>
      </c>
      <c r="M11" s="6">
        <f>IF(OR(J11="",L11=""),"",ROUND(J11*L11,2))</f>
        <v/>
      </c>
      <c r="N11" s="7" t="n">
        <v>45958</v>
      </c>
      <c r="O11" s="4" t="inlineStr">
        <is>
          <t>EXCEL ORIGINAL</t>
        </is>
      </c>
      <c r="P11" s="2">
        <f>IF(OR(K11="",L11=""),"FALTA","OK")</f>
        <v/>
      </c>
    </row>
    <row r="12">
      <c r="A12" s="2" t="n">
        <v>11</v>
      </c>
      <c r="B12" s="3" t="inlineStr">
        <is>
          <t>3014001058</t>
        </is>
      </c>
      <c r="C12" s="2" t="inlineStr">
        <is>
          <t>FABRICA</t>
        </is>
      </c>
      <c r="D12" s="4" t="inlineStr">
        <is>
          <t>IMPORTADOS</t>
        </is>
      </c>
      <c r="E12" s="4" t="inlineStr">
        <is>
          <t>EQUIPO</t>
        </is>
      </c>
      <c r="F12" s="5" t="inlineStr">
        <is>
          <t>DISYUNTOR DE CAJA MOLDEADA DE CC, 2 POLOS, 320 A</t>
        </is>
      </c>
      <c r="G12" s="4" t="inlineStr">
        <is>
          <t>USFULL (prob.)</t>
        </is>
      </c>
      <c r="H12" s="4" t="inlineStr">
        <is>
          <t>FMM3-PV 320H 2P 320A</t>
        </is>
      </c>
      <c r="I12" s="2" t="inlineStr">
        <is>
          <t>UND</t>
        </is>
      </c>
      <c r="J12" s="2" t="n">
        <v>12</v>
      </c>
      <c r="K12" s="2" t="inlineStr">
        <is>
          <t>DOLARES</t>
        </is>
      </c>
      <c r="L12" s="6" t="n">
        <v>35.2</v>
      </c>
      <c r="M12" s="6">
        <f>IF(OR(J12="",L12=""),"",ROUND(J12*L12,2))</f>
        <v/>
      </c>
      <c r="N12" s="7" t="n">
        <v>45958</v>
      </c>
      <c r="O12" s="4" t="inlineStr">
        <is>
          <t>EXCEL ORIGINAL</t>
        </is>
      </c>
      <c r="P12" s="2">
        <f>IF(OR(K12="",L12=""),"FALTA","OK")</f>
        <v/>
      </c>
    </row>
    <row r="13">
      <c r="A13" s="2" t="n">
        <v>12</v>
      </c>
      <c r="B13" s="3" t="inlineStr">
        <is>
          <t>3014001071</t>
        </is>
      </c>
      <c r="C13" s="2" t="inlineStr">
        <is>
          <t>FABRICA</t>
        </is>
      </c>
      <c r="D13" s="4" t="inlineStr">
        <is>
          <t>IMPORTADOS</t>
        </is>
      </c>
      <c r="E13" s="4" t="inlineStr">
        <is>
          <t>EQUIPO</t>
        </is>
      </c>
      <c r="F13" s="5" t="inlineStr">
        <is>
          <t>DISYUNTOR DE CAJA MOLDEADA DE CC, 2 POLOS, 500 A</t>
        </is>
      </c>
      <c r="G13" s="4" t="inlineStr">
        <is>
          <t>USFULL (prob.)</t>
        </is>
      </c>
      <c r="H13" s="4" t="inlineStr">
        <is>
          <t>FMM3-PV 800H 2P 500A</t>
        </is>
      </c>
      <c r="I13" s="2" t="inlineStr">
        <is>
          <t>UND</t>
        </is>
      </c>
      <c r="J13" s="2" t="n">
        <v>12</v>
      </c>
      <c r="K13" s="2" t="inlineStr">
        <is>
          <t>DOLARES</t>
        </is>
      </c>
      <c r="L13" s="6" t="n">
        <v>59.1</v>
      </c>
      <c r="M13" s="6">
        <f>IF(OR(J13="",L13=""),"",ROUND(J13*L13,2))</f>
        <v/>
      </c>
      <c r="N13" s="7" t="n">
        <v>45958</v>
      </c>
      <c r="O13" s="4" t="inlineStr">
        <is>
          <t>EXCEL ORIGINAL</t>
        </is>
      </c>
      <c r="P13" s="2">
        <f>IF(OR(K13="",L13=""),"FALTA","OK")</f>
        <v/>
      </c>
    </row>
    <row r="14">
      <c r="A14" s="2" t="n">
        <v>13</v>
      </c>
      <c r="B14" s="3" t="inlineStr">
        <is>
          <t>3014001074</t>
        </is>
      </c>
      <c r="C14" s="2" t="inlineStr">
        <is>
          <t>FABRICA</t>
        </is>
      </c>
      <c r="D14" s="4" t="inlineStr">
        <is>
          <t>IMPORTADOS</t>
        </is>
      </c>
      <c r="E14" s="4" t="inlineStr">
        <is>
          <t>EQUIPO</t>
        </is>
      </c>
      <c r="F14" s="5" t="inlineStr">
        <is>
          <t>DISYUNTOR DE CAJA MOLDEADA DE CC, 2 POLOS, 800 A</t>
        </is>
      </c>
      <c r="G14" s="4" t="inlineStr">
        <is>
          <t>USFULL (prob.)</t>
        </is>
      </c>
      <c r="H14" s="4" t="inlineStr">
        <is>
          <t>FMM3-PV 800H 2P 800A</t>
        </is>
      </c>
      <c r="I14" s="2" t="inlineStr">
        <is>
          <t>UND</t>
        </is>
      </c>
      <c r="J14" s="2" t="n">
        <v>8</v>
      </c>
      <c r="K14" s="2" t="inlineStr">
        <is>
          <t>DOLARES</t>
        </is>
      </c>
      <c r="L14" s="6" t="n">
        <v>90.7</v>
      </c>
      <c r="M14" s="6">
        <f>IF(OR(J14="",L14=""),"",ROUND(J14*L14,2))</f>
        <v/>
      </c>
      <c r="N14" s="7" t="n">
        <v>45958</v>
      </c>
      <c r="O14" s="4" t="inlineStr">
        <is>
          <t>EXCEL ORIGINAL</t>
        </is>
      </c>
      <c r="P14" s="2">
        <f>IF(OR(K14="",L14=""),"FALTA","OK")</f>
        <v/>
      </c>
    </row>
    <row r="15">
      <c r="A15" s="2" t="n">
        <v>14</v>
      </c>
      <c r="B15" s="3" t="inlineStr">
        <is>
          <t>NO 3014003203</t>
        </is>
      </c>
      <c r="C15" s="2" t="inlineStr">
        <is>
          <t>FABRICA</t>
        </is>
      </c>
      <c r="D15" s="4" t="inlineStr">
        <is>
          <t>IMPORTADOS</t>
        </is>
      </c>
      <c r="E15" s="4" t="inlineStr">
        <is>
          <t>EQUIPO</t>
        </is>
      </c>
      <c r="F15" s="5" t="inlineStr">
        <is>
          <t>SUPRESOR DE PICOS DE CC, 2 POLOS, 40 kA, 800 V CC</t>
        </is>
      </c>
      <c r="G15" s="4" t="inlineStr">
        <is>
          <t>USFULL</t>
        </is>
      </c>
      <c r="H15" s="4" t="inlineStr">
        <is>
          <t>FLY1-40PV T2 (2P)</t>
        </is>
      </c>
      <c r="I15" s="2" t="inlineStr">
        <is>
          <t>UND</t>
        </is>
      </c>
      <c r="J15" s="2" t="n">
        <v>120</v>
      </c>
      <c r="K15" s="2" t="inlineStr">
        <is>
          <t>DOLARES</t>
        </is>
      </c>
      <c r="L15" s="6" t="n">
        <v>3.9</v>
      </c>
      <c r="M15" s="6">
        <f>IF(OR(J15="",L15=""),"",ROUND(J15*L15,2))</f>
        <v/>
      </c>
      <c r="N15" s="7" t="n">
        <v>45958</v>
      </c>
      <c r="O15" s="4" t="inlineStr">
        <is>
          <t>EXCEL ORIGINAL</t>
        </is>
      </c>
      <c r="P15" s="2">
        <f>IF(OR(K15="",L15=""),"FALTA","OK")</f>
        <v/>
      </c>
    </row>
    <row r="16">
      <c r="A16" s="2" t="n">
        <v>15</v>
      </c>
      <c r="B16" s="3" t="inlineStr">
        <is>
          <t>PROENERGIM-015</t>
        </is>
      </c>
      <c r="C16" s="2" t="inlineStr">
        <is>
          <t>QR INTERNO</t>
        </is>
      </c>
      <c r="D16" s="4" t="inlineStr">
        <is>
          <t>IMPORTADOS</t>
        </is>
      </c>
      <c r="E16" s="4" t="inlineStr">
        <is>
          <t>EQUIPO</t>
        </is>
      </c>
      <c r="F16" s="5" t="inlineStr">
        <is>
          <t>CONECTOR MC4 DE 6 MM 1000 V CC</t>
        </is>
      </c>
      <c r="G16" s="4" t="inlineStr"/>
      <c r="H16" s="4" t="inlineStr"/>
      <c r="I16" s="2" t="inlineStr">
        <is>
          <t>UND</t>
        </is>
      </c>
      <c r="J16" s="2" t="n">
        <v>1000</v>
      </c>
      <c r="K16" s="2" t="inlineStr">
        <is>
          <t>DOLARES</t>
        </is>
      </c>
      <c r="L16" s="6" t="n">
        <v>0.5</v>
      </c>
      <c r="M16" s="6">
        <f>IF(OR(J16="",L16=""),"",ROUND(J16*L16,2))</f>
        <v/>
      </c>
      <c r="N16" s="7" t="n">
        <v>45958</v>
      </c>
      <c r="O16" s="4" t="inlineStr">
        <is>
          <t>EXCEL ORIGINAL</t>
        </is>
      </c>
      <c r="P16" s="2">
        <f>IF(OR(K16="",L16=""),"FALTA","OK")</f>
        <v/>
      </c>
    </row>
    <row r="17">
      <c r="A17" s="8" t="n">
        <v>16</v>
      </c>
      <c r="B17" s="3" t="inlineStr">
        <is>
          <t>PROENERGIM-016</t>
        </is>
      </c>
      <c r="C17" s="2" t="inlineStr">
        <is>
          <t>QR INTERNO</t>
        </is>
      </c>
      <c r="D17" s="4" t="inlineStr">
        <is>
          <t>IMPORTADOS</t>
        </is>
      </c>
      <c r="E17" s="4" t="inlineStr">
        <is>
          <t>EQUIPO</t>
        </is>
      </c>
      <c r="F17" s="5" t="inlineStr">
        <is>
          <t>Repuestos (2,2 kW, 5,5 kW, 11 kW)</t>
        </is>
      </c>
      <c r="G17" s="4" t="inlineStr">
        <is>
          <t>INVT (Goodrive)</t>
        </is>
      </c>
      <c r="H17" s="4" t="inlineStr">
        <is>
          <t>Modulos/Main Control Board/Power Panel</t>
        </is>
      </c>
      <c r="I17" s="2" t="inlineStr">
        <is>
          <t>UND</t>
        </is>
      </c>
      <c r="J17" s="2" t="n">
        <v>0.04</v>
      </c>
      <c r="K17" s="2" t="inlineStr">
        <is>
          <t>DOLARES</t>
        </is>
      </c>
      <c r="L17" s="6" t="n">
        <v>0.04</v>
      </c>
      <c r="M17" s="6">
        <f>IF(OR(J17="",L17=""),"",ROUND(J17*L17,2))</f>
        <v/>
      </c>
      <c r="N17" s="7" t="n">
        <v>45958</v>
      </c>
      <c r="O17" s="4" t="inlineStr">
        <is>
          <t>EXCEL ORIGINAL</t>
        </is>
      </c>
      <c r="P17" s="2">
        <f>IF(OR(K17="",L17=""),"FALTA","OK")</f>
        <v/>
      </c>
    </row>
    <row r="18">
      <c r="A18" s="2" t="n">
        <v>17</v>
      </c>
      <c r="B18" s="3" t="inlineStr">
        <is>
          <t>PROENERGIM-017</t>
        </is>
      </c>
      <c r="C18" s="2" t="inlineStr">
        <is>
          <t>QR INTERNO</t>
        </is>
      </c>
      <c r="D18" s="4" t="inlineStr">
        <is>
          <t>LAS MERCEDES</t>
        </is>
      </c>
      <c r="E18" s="4" t="inlineStr">
        <is>
          <t>EPP</t>
        </is>
      </c>
      <c r="F18" s="5" t="inlineStr">
        <is>
          <t>CHALECO DRILL AMARILLO S-XL CON CINTA REFLECTIVA /BORDADO</t>
        </is>
      </c>
      <c r="G18" s="4" t="inlineStr"/>
      <c r="H18" s="4" t="inlineStr"/>
      <c r="I18" s="2" t="inlineStr">
        <is>
          <t>UND</t>
        </is>
      </c>
      <c r="J18" s="2" t="n">
        <v>50</v>
      </c>
      <c r="K18" s="2" t="inlineStr">
        <is>
          <t>SOLES</t>
        </is>
      </c>
      <c r="L18" s="6" t="n">
        <v>28</v>
      </c>
      <c r="M18" s="6">
        <f>IF(OR(J18="",L18=""),"",ROUND(J18*L18,2))</f>
        <v/>
      </c>
      <c r="N18" s="7" t="n">
        <v>45958</v>
      </c>
      <c r="O18" s="4" t="inlineStr">
        <is>
          <t>EXCEL ORIGINAL</t>
        </is>
      </c>
      <c r="P18" s="2">
        <f>IF(OR(K18="",L18=""),"FALTA","OK")</f>
        <v/>
      </c>
    </row>
    <row r="19">
      <c r="A19" s="2" t="n">
        <v>18</v>
      </c>
      <c r="B19" s="3" t="inlineStr">
        <is>
          <t>PROENERGIM-018</t>
        </is>
      </c>
      <c r="C19" s="2" t="inlineStr">
        <is>
          <t>QR INTERNO</t>
        </is>
      </c>
      <c r="D19" s="4" t="inlineStr">
        <is>
          <t>LAS MERCEDES</t>
        </is>
      </c>
      <c r="E19" s="4" t="inlineStr">
        <is>
          <t>EPP</t>
        </is>
      </c>
      <c r="F19" s="5" t="inlineStr">
        <is>
          <t>GORRO  DRILL SIN TAPANUCA CON BORDADO</t>
        </is>
      </c>
      <c r="G19" s="4" t="inlineStr"/>
      <c r="H19" s="4" t="inlineStr"/>
      <c r="I19" s="2" t="inlineStr">
        <is>
          <t>UND</t>
        </is>
      </c>
      <c r="J19" s="2" t="n">
        <v>50</v>
      </c>
      <c r="K19" s="2" t="inlineStr">
        <is>
          <t>SOLES</t>
        </is>
      </c>
      <c r="L19" s="6" t="n">
        <v>11</v>
      </c>
      <c r="M19" s="6">
        <f>IF(OR(J19="",L19=""),"",ROUND(J19*L19,2))</f>
        <v/>
      </c>
      <c r="N19" s="7" t="n">
        <v>45958</v>
      </c>
      <c r="O19" s="4" t="inlineStr">
        <is>
          <t>EXCEL ORIGINAL</t>
        </is>
      </c>
      <c r="P19" s="2">
        <f>IF(OR(K19="",L19=""),"FALTA","OK")</f>
        <v/>
      </c>
    </row>
    <row r="20">
      <c r="A20" s="2" t="n">
        <v>19</v>
      </c>
      <c r="B20" s="3" t="inlineStr">
        <is>
          <t>PROENERGIM-019</t>
        </is>
      </c>
      <c r="C20" s="2" t="inlineStr">
        <is>
          <t>QR INTERNO</t>
        </is>
      </c>
      <c r="D20" s="4" t="inlineStr">
        <is>
          <t>LAS MERCEDES</t>
        </is>
      </c>
      <c r="E20" s="4" t="inlineStr">
        <is>
          <t>EPP</t>
        </is>
      </c>
      <c r="F20" s="5" t="inlineStr">
        <is>
          <t>SOMBRERO SAFARI DRILL TAPANUCA BEIGE</t>
        </is>
      </c>
      <c r="G20" s="4" t="inlineStr">
        <is>
          <t>-</t>
        </is>
      </c>
      <c r="H20" s="4" t="inlineStr">
        <is>
          <t>Logo Proenergim (sol+panel)</t>
        </is>
      </c>
      <c r="I20" s="2" t="inlineStr">
        <is>
          <t>UND</t>
        </is>
      </c>
      <c r="J20" s="2" t="n">
        <v>50</v>
      </c>
      <c r="K20" s="2" t="inlineStr">
        <is>
          <t>SOLES</t>
        </is>
      </c>
      <c r="L20" s="6" t="n">
        <v>4</v>
      </c>
      <c r="M20" s="6">
        <f>IF(OR(J20="",L20=""),"",ROUND(J20*L20,2))</f>
        <v/>
      </c>
      <c r="N20" s="7" t="n">
        <v>45967</v>
      </c>
      <c r="O20" s="4" t="inlineStr">
        <is>
          <t>EXCEL ORIGINAL</t>
        </is>
      </c>
      <c r="P20" s="2">
        <f>IF(OR(K20="",L20=""),"FALTA","OK")</f>
        <v/>
      </c>
    </row>
    <row r="21">
      <c r="A21" s="2" t="n">
        <v>20</v>
      </c>
      <c r="B21" s="3" t="inlineStr">
        <is>
          <t>(01)17799045023173</t>
        </is>
      </c>
      <c r="C21" s="2" t="inlineStr">
        <is>
          <t>FABRICA</t>
        </is>
      </c>
      <c r="D21" s="4" t="inlineStr">
        <is>
          <t>LAS MERCEDES</t>
        </is>
      </c>
      <c r="E21" s="4" t="inlineStr">
        <is>
          <t>EPP</t>
        </is>
      </c>
      <c r="F21" s="5" t="inlineStr">
        <is>
          <t>GUANTEHILO AMARILLO STREELPRO</t>
        </is>
      </c>
      <c r="G21" s="4" t="inlineStr">
        <is>
          <t>STEELPRO SAFETY</t>
        </is>
      </c>
      <c r="H21" s="4" t="inlineStr">
        <is>
          <t>Multiflex</t>
        </is>
      </c>
      <c r="I21" s="2" t="inlineStr">
        <is>
          <t>UND</t>
        </is>
      </c>
      <c r="J21" s="2" t="n">
        <v>50</v>
      </c>
      <c r="K21" s="2" t="inlineStr">
        <is>
          <t>SOLES</t>
        </is>
      </c>
      <c r="L21" s="6" t="n">
        <v>2.92</v>
      </c>
      <c r="M21" s="6">
        <f>IF(OR(J21="",L21=""),"",ROUND(J21*L21,2))</f>
        <v/>
      </c>
      <c r="N21" s="7" t="n">
        <v>45958</v>
      </c>
      <c r="O21" s="4" t="inlineStr">
        <is>
          <t>EXCEL ORIGINAL</t>
        </is>
      </c>
      <c r="P21" s="2">
        <f>IF(OR(K21="",L21=""),"FALTA","OK")</f>
        <v/>
      </c>
    </row>
    <row r="22">
      <c r="A22" s="2" t="n">
        <v>21</v>
      </c>
      <c r="B22" s="3" t="inlineStr">
        <is>
          <t>352451590099</t>
        </is>
      </c>
      <c r="C22" s="2" t="inlineStr">
        <is>
          <t>FABRICA</t>
        </is>
      </c>
      <c r="D22" s="4" t="inlineStr">
        <is>
          <t>LAS MERCEDES</t>
        </is>
      </c>
      <c r="E22" s="4" t="inlineStr">
        <is>
          <t>EPP</t>
        </is>
      </c>
      <c r="F22" s="5" t="inlineStr">
        <is>
          <t>LENTES TRASNPARENTES LENTE SPY LUNA CLARA STEELPRO</t>
        </is>
      </c>
      <c r="G22" s="4" t="inlineStr">
        <is>
          <t>STEELPRO SAFETY</t>
        </is>
      </c>
      <c r="H22" s="4" t="inlineStr">
        <is>
          <t>SPY AF CLARO</t>
        </is>
      </c>
      <c r="I22" s="2" t="inlineStr">
        <is>
          <t>UND</t>
        </is>
      </c>
      <c r="J22" s="2" t="n">
        <v>50</v>
      </c>
      <c r="K22" s="2" t="inlineStr">
        <is>
          <t>SOLES</t>
        </is>
      </c>
      <c r="L22" s="6" t="n">
        <v>2.91</v>
      </c>
      <c r="M22" s="6">
        <f>IF(OR(J22="",L22=""),"",ROUND(J22*L22,2))</f>
        <v/>
      </c>
      <c r="N22" s="7" t="n">
        <v>45958</v>
      </c>
      <c r="O22" s="4" t="inlineStr">
        <is>
          <t>EXCEL ORIGINAL</t>
        </is>
      </c>
      <c r="P22" s="2">
        <f>IF(OR(K22="",L22=""),"FALTA","OK")</f>
        <v/>
      </c>
    </row>
    <row r="23">
      <c r="A23" s="2" t="n">
        <v>22</v>
      </c>
      <c r="B23" s="3" t="inlineStr">
        <is>
          <t>PROENERGIM-022</t>
        </is>
      </c>
      <c r="C23" s="2" t="inlineStr">
        <is>
          <t>QR INTERNO</t>
        </is>
      </c>
      <c r="D23" s="4" t="inlineStr">
        <is>
          <t>LAS MERCEDES</t>
        </is>
      </c>
      <c r="E23" s="4" t="inlineStr">
        <is>
          <t>EPP</t>
        </is>
      </c>
      <c r="F23" s="5" t="inlineStr">
        <is>
          <t>TAPON AUDITIVOS AUDITIVO EN BOLSITA SEGLPRO</t>
        </is>
      </c>
      <c r="G23" s="4" t="inlineStr">
        <is>
          <t>SEGPRO</t>
        </is>
      </c>
      <c r="H23" s="4" t="inlineStr">
        <is>
          <t>Confort 2000</t>
        </is>
      </c>
      <c r="I23" s="2" t="inlineStr">
        <is>
          <t>UND</t>
        </is>
      </c>
      <c r="J23" s="2" t="n">
        <v>100</v>
      </c>
      <c r="K23" s="2" t="inlineStr">
        <is>
          <t>SOLES</t>
        </is>
      </c>
      <c r="L23" s="6" t="n">
        <v>0.6</v>
      </c>
      <c r="M23" s="6">
        <f>IF(OR(J23="",L23=""),"",ROUND(J23*L23,2))</f>
        <v/>
      </c>
      <c r="N23" s="7" t="n">
        <v>45958</v>
      </c>
      <c r="O23" s="4" t="inlineStr">
        <is>
          <t>EXCEL ORIGINAL</t>
        </is>
      </c>
      <c r="P23" s="2">
        <f>IF(OR(K23="",L23=""),"FALTA","OK")</f>
        <v/>
      </c>
    </row>
    <row r="24">
      <c r="A24" s="2" t="n">
        <v>23</v>
      </c>
      <c r="B24" s="3" t="inlineStr">
        <is>
          <t>PROENERGIM-023</t>
        </is>
      </c>
      <c r="C24" s="2" t="inlineStr">
        <is>
          <t>QR INTERNO</t>
        </is>
      </c>
      <c r="D24" s="4" t="inlineStr">
        <is>
          <t>LAS MERCEDES</t>
        </is>
      </c>
      <c r="E24" s="4" t="inlineStr">
        <is>
          <t>EPP</t>
        </is>
      </c>
      <c r="F24" s="5" t="inlineStr">
        <is>
          <t>MARCARILLA 7502 CON FILTRO 2097 ASA</t>
        </is>
      </c>
      <c r="G24" s="4" t="inlineStr"/>
      <c r="H24" s="4" t="inlineStr"/>
      <c r="I24" s="2" t="inlineStr">
        <is>
          <t>UND</t>
        </is>
      </c>
      <c r="J24" s="2" t="n">
        <v>3</v>
      </c>
      <c r="K24" s="2" t="inlineStr">
        <is>
          <t>SOLES</t>
        </is>
      </c>
      <c r="L24" s="6" t="n">
        <v>30</v>
      </c>
      <c r="M24" s="6">
        <f>IF(OR(J24="",L24=""),"",ROUND(J24*L24,2))</f>
        <v/>
      </c>
      <c r="N24" s="7" t="n">
        <v>45958</v>
      </c>
      <c r="O24" s="4" t="inlineStr">
        <is>
          <t>EXCEL ORIGINAL</t>
        </is>
      </c>
      <c r="P24" s="2">
        <f>IF(OR(K24="",L24=""),"FALTA","OK")</f>
        <v/>
      </c>
    </row>
    <row r="25">
      <c r="A25" s="2" t="n">
        <v>24</v>
      </c>
      <c r="B25" s="3" t="inlineStr">
        <is>
          <t>PROENERGIM-024</t>
        </is>
      </c>
      <c r="C25" s="2" t="inlineStr">
        <is>
          <t>QR INTERNO</t>
        </is>
      </c>
      <c r="D25" s="4" t="inlineStr">
        <is>
          <t>LAS MERCEDES</t>
        </is>
      </c>
      <c r="E25" s="4" t="inlineStr">
        <is>
          <t>EPP</t>
        </is>
      </c>
      <c r="F25" s="5" t="inlineStr">
        <is>
          <t>CASCO JOCKEY STEELPRO AZUL</t>
        </is>
      </c>
      <c r="G25" s="4" t="inlineStr"/>
      <c r="H25" s="4" t="inlineStr"/>
      <c r="I25" s="2" t="inlineStr">
        <is>
          <t>UND</t>
        </is>
      </c>
      <c r="J25" s="2" t="n">
        <v>20</v>
      </c>
      <c r="K25" s="2" t="inlineStr">
        <is>
          <t>SOLES</t>
        </is>
      </c>
      <c r="L25" s="6" t="n">
        <v>15.5</v>
      </c>
      <c r="M25" s="6">
        <f>IF(OR(J25="",L25=""),"",ROUND(J25*L25,2))</f>
        <v/>
      </c>
      <c r="N25" s="7" t="n">
        <v>45958</v>
      </c>
      <c r="O25" s="4" t="inlineStr">
        <is>
          <t>EXCEL ORIGINAL</t>
        </is>
      </c>
      <c r="P25" s="2">
        <f>IF(OR(K25="",L25=""),"FALTA","OK")</f>
        <v/>
      </c>
    </row>
    <row r="26">
      <c r="A26" s="2" t="n">
        <v>25</v>
      </c>
      <c r="B26" s="3" t="inlineStr">
        <is>
          <t>PROENERGIM-025</t>
        </is>
      </c>
      <c r="C26" s="2" t="inlineStr">
        <is>
          <t>QR INTERNO</t>
        </is>
      </c>
      <c r="D26" s="4" t="inlineStr">
        <is>
          <t>LAS MERCEDES</t>
        </is>
      </c>
      <c r="E26" s="4" t="inlineStr">
        <is>
          <t>EPP</t>
        </is>
      </c>
      <c r="F26" s="5" t="inlineStr">
        <is>
          <t>BLUSA OXFORD CELESTE TALLA L</t>
        </is>
      </c>
      <c r="G26" s="4" t="inlineStr"/>
      <c r="H26" s="4" t="inlineStr"/>
      <c r="I26" s="2" t="inlineStr">
        <is>
          <t>UND</t>
        </is>
      </c>
      <c r="J26" s="2" t="n">
        <v>3</v>
      </c>
      <c r="K26" s="2" t="inlineStr">
        <is>
          <t>SOLES</t>
        </is>
      </c>
      <c r="L26" s="6" t="n">
        <v>30</v>
      </c>
      <c r="M26" s="6">
        <f>IF(OR(J26="",L26=""),"",ROUND(J26*L26,2))</f>
        <v/>
      </c>
      <c r="N26" s="7" t="n">
        <v>45958</v>
      </c>
      <c r="O26" s="4" t="inlineStr">
        <is>
          <t>EXCEL ORIGINAL</t>
        </is>
      </c>
      <c r="P26" s="2">
        <f>IF(OR(K26="",L26=""),"FALTA","OK")</f>
        <v/>
      </c>
    </row>
    <row r="27">
      <c r="A27" s="2" t="n">
        <v>26</v>
      </c>
      <c r="B27" s="3" t="inlineStr">
        <is>
          <t>PROENERGIM-026</t>
        </is>
      </c>
      <c r="C27" s="2" t="inlineStr">
        <is>
          <t>QR INTERNO</t>
        </is>
      </c>
      <c r="D27" s="4" t="inlineStr">
        <is>
          <t>LAS MERCEDES</t>
        </is>
      </c>
      <c r="E27" s="4" t="inlineStr">
        <is>
          <t>EPP</t>
        </is>
      </c>
      <c r="F27" s="5" t="inlineStr">
        <is>
          <t>POLO MANGA LARGA ESTAMPADO PECHO Y ESPALDA</t>
        </is>
      </c>
      <c r="G27" s="4" t="inlineStr"/>
      <c r="H27" s="4" t="inlineStr"/>
      <c r="I27" s="2" t="inlineStr">
        <is>
          <t>UND</t>
        </is>
      </c>
      <c r="J27" s="2" t="n">
        <v>50</v>
      </c>
      <c r="K27" s="2" t="inlineStr">
        <is>
          <t>SOLES</t>
        </is>
      </c>
      <c r="L27" s="6" t="n">
        <v>11</v>
      </c>
      <c r="M27" s="6">
        <f>IF(OR(J27="",L27=""),"",ROUND(J27*L27,2))</f>
        <v/>
      </c>
      <c r="N27" s="7" t="n">
        <v>45958</v>
      </c>
      <c r="O27" s="4" t="inlineStr">
        <is>
          <t>EXCEL ORIGINAL</t>
        </is>
      </c>
      <c r="P27" s="2">
        <f>IF(OR(K27="",L27=""),"FALTA","OK")</f>
        <v/>
      </c>
    </row>
    <row r="28">
      <c r="A28" s="2" t="n">
        <v>27</v>
      </c>
      <c r="B28" s="3" t="inlineStr">
        <is>
          <t>PROENERGIM-027</t>
        </is>
      </c>
      <c r="C28" s="2" t="inlineStr">
        <is>
          <t>QR INTERNO</t>
        </is>
      </c>
      <c r="D28" s="4" t="inlineStr">
        <is>
          <t>LAS MERCEDES</t>
        </is>
      </c>
      <c r="E28" s="4" t="inlineStr">
        <is>
          <t>FERRETERIA</t>
        </is>
      </c>
      <c r="F28" s="5" t="inlineStr">
        <is>
          <t>ESCALERA MULTIUSO DE 12 PASOS</t>
        </is>
      </c>
      <c r="G28" s="4" t="inlineStr"/>
      <c r="H28" s="4" t="inlineStr"/>
      <c r="I28" s="2" t="inlineStr">
        <is>
          <t>UND</t>
        </is>
      </c>
      <c r="J28" s="2" t="n">
        <v>1</v>
      </c>
      <c r="K28" s="2" t="inlineStr">
        <is>
          <t>SOLES</t>
        </is>
      </c>
      <c r="L28" s="6" t="n">
        <v>530</v>
      </c>
      <c r="M28" s="6">
        <f>IF(OR(J28="",L28=""),"",ROUND(J28*L28,2))</f>
        <v/>
      </c>
      <c r="N28" s="7" t="n">
        <v>45982</v>
      </c>
      <c r="O28" s="4" t="inlineStr">
        <is>
          <t>EXCEL ORIGINAL</t>
        </is>
      </c>
      <c r="P28" s="2">
        <f>IF(OR(K28="",L28=""),"FALTA","OK")</f>
        <v/>
      </c>
    </row>
    <row r="29">
      <c r="A29" s="2" t="n">
        <v>28</v>
      </c>
      <c r="B29" s="3" t="inlineStr">
        <is>
          <t>PROENERGIM-028</t>
        </is>
      </c>
      <c r="C29" s="2" t="inlineStr">
        <is>
          <t>QR INTERNO</t>
        </is>
      </c>
      <c r="D29" s="4" t="inlineStr">
        <is>
          <t>LAS MERCEDES</t>
        </is>
      </c>
      <c r="E29" s="4" t="inlineStr">
        <is>
          <t>FERRETERIA</t>
        </is>
      </c>
      <c r="F29" s="5" t="inlineStr">
        <is>
          <t>ESCALERA MULTIUSO DE 24 PASOS</t>
        </is>
      </c>
      <c r="G29" s="4" t="inlineStr"/>
      <c r="H29" s="4" t="inlineStr"/>
      <c r="I29" s="2" t="inlineStr">
        <is>
          <t>UND</t>
        </is>
      </c>
      <c r="J29" s="2" t="n">
        <v>1</v>
      </c>
      <c r="K29" s="2" t="inlineStr">
        <is>
          <t>SOLES</t>
        </is>
      </c>
      <c r="L29" s="6" t="n">
        <v>820</v>
      </c>
      <c r="M29" s="6">
        <f>IF(OR(J29="",L29=""),"",ROUND(J29*L29,2))</f>
        <v/>
      </c>
      <c r="N29" s="7" t="n">
        <v>45982</v>
      </c>
      <c r="O29" s="4" t="inlineStr">
        <is>
          <t>EXCEL ORIGINAL</t>
        </is>
      </c>
      <c r="P29" s="2">
        <f>IF(OR(K29="",L29=""),"FALTA","OK")</f>
        <v/>
      </c>
    </row>
    <row r="30">
      <c r="A30" s="8" t="n">
        <v>29</v>
      </c>
      <c r="B30" s="3" t="inlineStr">
        <is>
          <t>PROENERGIM-029</t>
        </is>
      </c>
      <c r="C30" s="2" t="inlineStr">
        <is>
          <t>QR INTERNO</t>
        </is>
      </c>
      <c r="D30" s="4" t="inlineStr">
        <is>
          <t>LAS MERCEDES</t>
        </is>
      </c>
      <c r="E30" s="4" t="inlineStr">
        <is>
          <t>FERRETERIA</t>
        </is>
      </c>
      <c r="F30" s="5" t="inlineStr">
        <is>
          <t>PERNOS DE DOS GROSORES DOS CAJAS</t>
        </is>
      </c>
      <c r="G30" s="4" t="inlineStr"/>
      <c r="H30" s="4" t="inlineStr"/>
      <c r="I30" s="2" t="inlineStr">
        <is>
          <t>UND</t>
        </is>
      </c>
      <c r="J30" s="2" t="n">
        <v>2</v>
      </c>
      <c r="K30" s="2" t="inlineStr">
        <is>
          <t>SOLES</t>
        </is>
      </c>
      <c r="L30" s="6" t="n">
        <v/>
      </c>
      <c r="M30" s="6">
        <f>IF(OR(J30="",L30=""),"",ROUND(J30*L30,2))</f>
        <v/>
      </c>
      <c r="N30" s="7" t="n"/>
      <c r="O30" s="4" t="inlineStr">
        <is>
          <t>EXCEL ORIGINAL</t>
        </is>
      </c>
      <c r="P30" s="2">
        <f>IF(OR(K30="",L30=""),"FALTA","OK")</f>
        <v/>
      </c>
    </row>
    <row r="31">
      <c r="A31" s="2" t="n">
        <v>30</v>
      </c>
      <c r="B31" s="3" t="inlineStr">
        <is>
          <t>PROENERGIM-030</t>
        </is>
      </c>
      <c r="C31" s="2" t="inlineStr">
        <is>
          <t>QR INTERNO</t>
        </is>
      </c>
      <c r="D31" s="4" t="inlineStr">
        <is>
          <t>LAS MERCEDES</t>
        </is>
      </c>
      <c r="E31" s="4" t="inlineStr">
        <is>
          <t>FERRETERIA</t>
        </is>
      </c>
      <c r="F31" s="5" t="inlineStr">
        <is>
          <t>CODO CLASE 10 CON ROSCA</t>
        </is>
      </c>
      <c r="G31" s="4" t="inlineStr"/>
      <c r="H31" s="4" t="inlineStr"/>
      <c r="I31" s="2" t="inlineStr">
        <is>
          <t>UND</t>
        </is>
      </c>
      <c r="J31" s="2" t="n">
        <v>2</v>
      </c>
      <c r="K31" s="9" t="inlineStr"/>
      <c r="L31" s="6" t="n">
        <v/>
      </c>
      <c r="M31" s="6">
        <f>IF(OR(J31="",L31=""),"",ROUND(J31*L31,2))</f>
        <v/>
      </c>
      <c r="N31" s="7" t="n"/>
      <c r="O31" s="4" t="inlineStr">
        <is>
          <t>EXCEL ORIGINAL</t>
        </is>
      </c>
      <c r="P31" s="2">
        <f>IF(OR(K31="",L31=""),"FALTA","OK")</f>
        <v/>
      </c>
    </row>
    <row r="32">
      <c r="A32" s="2" t="n">
        <v>31</v>
      </c>
      <c r="B32" s="3" t="inlineStr">
        <is>
          <t>PROENERGIM-031</t>
        </is>
      </c>
      <c r="C32" s="2" t="inlineStr">
        <is>
          <t>QR INTERNO</t>
        </is>
      </c>
      <c r="D32" s="4" t="inlineStr">
        <is>
          <t>LAS MERCEDES</t>
        </is>
      </c>
      <c r="E32" s="4" t="inlineStr">
        <is>
          <t>FERRETERIA</t>
        </is>
      </c>
      <c r="F32" s="5" t="inlineStr">
        <is>
          <t>CODO</t>
        </is>
      </c>
      <c r="G32" s="4" t="inlineStr"/>
      <c r="H32" s="4" t="inlineStr"/>
      <c r="I32" s="2" t="inlineStr">
        <is>
          <t>UND</t>
        </is>
      </c>
      <c r="J32" s="2" t="n">
        <v>2</v>
      </c>
      <c r="K32" s="9" t="inlineStr"/>
      <c r="L32" s="6" t="n">
        <v/>
      </c>
      <c r="M32" s="6">
        <f>IF(OR(J32="",L32=""),"",ROUND(J32*L32,2))</f>
        <v/>
      </c>
      <c r="N32" s="7" t="n"/>
      <c r="O32" s="4" t="inlineStr">
        <is>
          <t>EXCEL ORIGINAL</t>
        </is>
      </c>
      <c r="P32" s="2">
        <f>IF(OR(K32="",L32=""),"FALTA","OK")</f>
        <v/>
      </c>
    </row>
    <row r="33">
      <c r="A33" s="2" t="n">
        <v>32</v>
      </c>
      <c r="B33" s="3" t="inlineStr">
        <is>
          <t>PROENERGIM-032</t>
        </is>
      </c>
      <c r="C33" s="2" t="inlineStr">
        <is>
          <t>QR INTERNO</t>
        </is>
      </c>
      <c r="D33" s="4" t="inlineStr">
        <is>
          <t>LAS MERCEDES</t>
        </is>
      </c>
      <c r="E33" s="4" t="inlineStr">
        <is>
          <t>FERRETERIA</t>
        </is>
      </c>
      <c r="F33" s="5" t="inlineStr">
        <is>
          <t>VARIADOR - LAS MERCEDES</t>
        </is>
      </c>
      <c r="G33" s="4" t="inlineStr"/>
      <c r="H33" s="4" t="inlineStr"/>
      <c r="I33" s="2" t="inlineStr">
        <is>
          <t>UND</t>
        </is>
      </c>
      <c r="J33" s="2" t="n">
        <v>2</v>
      </c>
      <c r="K33" s="9" t="inlineStr"/>
      <c r="L33" s="6" t="n">
        <v/>
      </c>
      <c r="M33" s="6">
        <f>IF(OR(J33="",L33=""),"",ROUND(J33*L33,2))</f>
        <v/>
      </c>
      <c r="N33" s="7" t="n"/>
      <c r="O33" s="4" t="inlineStr">
        <is>
          <t>EXCEL ORIGINAL</t>
        </is>
      </c>
      <c r="P33" s="2">
        <f>IF(OR(K33="",L33=""),"FALTA","OK")</f>
        <v/>
      </c>
    </row>
    <row r="34">
      <c r="A34" s="2" t="n">
        <v>33</v>
      </c>
      <c r="B34" s="3" t="inlineStr">
        <is>
          <t>PROENERGIM-033</t>
        </is>
      </c>
      <c r="C34" s="2" t="inlineStr">
        <is>
          <t>QR INTERNO</t>
        </is>
      </c>
      <c r="D34" s="4" t="inlineStr">
        <is>
          <t>LAS MERCEDES</t>
        </is>
      </c>
      <c r="E34" s="4" t="inlineStr">
        <is>
          <t>FERRETERIA</t>
        </is>
      </c>
      <c r="F34" s="5" t="inlineStr">
        <is>
          <t>CODOS</t>
        </is>
      </c>
      <c r="G34" s="4" t="inlineStr"/>
      <c r="H34" s="4" t="inlineStr"/>
      <c r="I34" s="2" t="inlineStr">
        <is>
          <t>UND</t>
        </is>
      </c>
      <c r="J34" s="2" t="n">
        <v>1</v>
      </c>
      <c r="K34" s="9" t="inlineStr"/>
      <c r="L34" s="6" t="n">
        <v/>
      </c>
      <c r="M34" s="6">
        <f>IF(OR(J34="",L34=""),"",ROUND(J34*L34,2))</f>
        <v/>
      </c>
      <c r="N34" s="7" t="n"/>
      <c r="O34" s="4" t="inlineStr">
        <is>
          <t>EXCEL ORIGINAL</t>
        </is>
      </c>
      <c r="P34" s="2">
        <f>IF(OR(K34="",L34=""),"FALTA","OK")</f>
        <v/>
      </c>
    </row>
    <row r="35">
      <c r="A35" s="2" t="n">
        <v>34</v>
      </c>
      <c r="B35" s="3" t="inlineStr">
        <is>
          <t>PROENERGIM-034</t>
        </is>
      </c>
      <c r="C35" s="2" t="inlineStr">
        <is>
          <t>QR INTERNO</t>
        </is>
      </c>
      <c r="D35" s="4" t="inlineStr">
        <is>
          <t>LAS MERCEDES</t>
        </is>
      </c>
      <c r="E35" s="4" t="inlineStr">
        <is>
          <t>FERRETERIA</t>
        </is>
      </c>
      <c r="F35" s="5" t="inlineStr">
        <is>
          <t>CODITO</t>
        </is>
      </c>
      <c r="G35" s="4" t="inlineStr"/>
      <c r="H35" s="4" t="inlineStr"/>
      <c r="I35" s="2" t="inlineStr">
        <is>
          <t>UND</t>
        </is>
      </c>
      <c r="J35" s="2" t="n">
        <v>3</v>
      </c>
      <c r="K35" s="9" t="inlineStr"/>
      <c r="L35" s="6" t="n">
        <v/>
      </c>
      <c r="M35" s="6">
        <f>IF(OR(J35="",L35=""),"",ROUND(J35*L35,2))</f>
        <v/>
      </c>
      <c r="N35" s="7" t="n"/>
      <c r="O35" s="4" t="inlineStr">
        <is>
          <t>EXCEL ORIGINAL</t>
        </is>
      </c>
      <c r="P35" s="2">
        <f>IF(OR(K35="",L35=""),"FALTA","OK")</f>
        <v/>
      </c>
    </row>
    <row r="36">
      <c r="A36" s="2" t="n">
        <v>35</v>
      </c>
      <c r="B36" s="3" t="inlineStr">
        <is>
          <t>PROENERGIM-035</t>
        </is>
      </c>
      <c r="C36" s="2" t="inlineStr">
        <is>
          <t>QR INTERNO</t>
        </is>
      </c>
      <c r="D36" s="4" t="inlineStr">
        <is>
          <t>LAS MERCEDES</t>
        </is>
      </c>
      <c r="E36" s="4" t="inlineStr">
        <is>
          <t>FERRETERIA</t>
        </is>
      </c>
      <c r="F36" s="5" t="inlineStr">
        <is>
          <t>CODO</t>
        </is>
      </c>
      <c r="G36" s="4" t="inlineStr"/>
      <c r="H36" s="4" t="inlineStr"/>
      <c r="I36" s="2" t="inlineStr">
        <is>
          <t>UND</t>
        </is>
      </c>
      <c r="J36" s="2" t="n">
        <v>1</v>
      </c>
      <c r="K36" s="9" t="inlineStr"/>
      <c r="L36" s="6" t="n">
        <v/>
      </c>
      <c r="M36" s="6">
        <f>IF(OR(J36="",L36=""),"",ROUND(J36*L36,2))</f>
        <v/>
      </c>
      <c r="N36" s="7" t="n"/>
      <c r="O36" s="4" t="inlineStr">
        <is>
          <t>EXCEL ORIGINAL</t>
        </is>
      </c>
      <c r="P36" s="2">
        <f>IF(OR(K36="",L36=""),"FALTA","OK")</f>
        <v/>
      </c>
    </row>
    <row r="37">
      <c r="A37" s="2" t="n">
        <v>36</v>
      </c>
      <c r="B37" s="3" t="inlineStr">
        <is>
          <t>PROENERGIM-036</t>
        </is>
      </c>
      <c r="C37" s="2" t="inlineStr">
        <is>
          <t>QR INTERNO</t>
        </is>
      </c>
      <c r="D37" s="4" t="inlineStr">
        <is>
          <t>LAS MERCEDES</t>
        </is>
      </c>
      <c r="E37" s="4" t="inlineStr">
        <is>
          <t>FERRETERIA</t>
        </is>
      </c>
      <c r="F37" s="5" t="inlineStr">
        <is>
          <t>PEGAMENTO</t>
        </is>
      </c>
      <c r="G37" s="4" t="inlineStr"/>
      <c r="H37" s="4" t="inlineStr"/>
      <c r="I37" s="2" t="inlineStr">
        <is>
          <t>UND</t>
        </is>
      </c>
      <c r="J37" s="2" t="n">
        <v>1</v>
      </c>
      <c r="K37" s="9" t="inlineStr"/>
      <c r="L37" s="6" t="n">
        <v/>
      </c>
      <c r="M37" s="6">
        <f>IF(OR(J37="",L37=""),"",ROUND(J37*L37,2))</f>
        <v/>
      </c>
      <c r="N37" s="7" t="n"/>
      <c r="O37" s="4" t="inlineStr">
        <is>
          <t>EXCEL ORIGINAL</t>
        </is>
      </c>
      <c r="P37" s="2">
        <f>IF(OR(K37="",L37=""),"FALTA","OK")</f>
        <v/>
      </c>
    </row>
    <row r="38">
      <c r="A38" s="2" t="n">
        <v>37</v>
      </c>
      <c r="B38" s="3" t="inlineStr">
        <is>
          <t>PROENERGIM-037</t>
        </is>
      </c>
      <c r="C38" s="2" t="inlineStr">
        <is>
          <t>QR INTERNO</t>
        </is>
      </c>
      <c r="D38" s="4" t="inlineStr">
        <is>
          <t>LAS MERCEDES</t>
        </is>
      </c>
      <c r="E38" s="4" t="inlineStr">
        <is>
          <t>FERRETERIA</t>
        </is>
      </c>
      <c r="F38" s="5" t="inlineStr">
        <is>
          <t>CODO</t>
        </is>
      </c>
      <c r="G38" s="4" t="inlineStr"/>
      <c r="H38" s="4" t="inlineStr"/>
      <c r="I38" s="2" t="inlineStr">
        <is>
          <t>UND</t>
        </is>
      </c>
      <c r="J38" s="2" t="n">
        <v>1</v>
      </c>
      <c r="K38" s="9" t="inlineStr"/>
      <c r="L38" s="6" t="n">
        <v/>
      </c>
      <c r="M38" s="6">
        <f>IF(OR(J38="",L38=""),"",ROUND(J38*L38,2))</f>
        <v/>
      </c>
      <c r="N38" s="7" t="n"/>
      <c r="O38" s="4" t="inlineStr">
        <is>
          <t>EXCEL ORIGINAL</t>
        </is>
      </c>
      <c r="P38" s="2">
        <f>IF(OR(K38="",L38=""),"FALTA","OK")</f>
        <v/>
      </c>
    </row>
    <row r="39">
      <c r="A39" s="2" t="n">
        <v>38</v>
      </c>
      <c r="B39" s="3" t="inlineStr">
        <is>
          <t>PROENERGIM-038</t>
        </is>
      </c>
      <c r="C39" s="2" t="inlineStr">
        <is>
          <t>QR INTERNO</t>
        </is>
      </c>
      <c r="D39" s="4" t="inlineStr">
        <is>
          <t>LAS MERCEDES</t>
        </is>
      </c>
      <c r="E39" s="4" t="inlineStr">
        <is>
          <t>FERRETERIA</t>
        </is>
      </c>
      <c r="F39" s="5" t="inlineStr">
        <is>
          <t>VENTILADOR - LAS MERCEDES</t>
        </is>
      </c>
      <c r="G39" s="4" t="inlineStr"/>
      <c r="H39" s="4" t="inlineStr"/>
      <c r="I39" s="2" t="inlineStr">
        <is>
          <t>UND</t>
        </is>
      </c>
      <c r="J39" s="2" t="n">
        <v>1</v>
      </c>
      <c r="K39" s="9" t="inlineStr"/>
      <c r="L39" s="6" t="n">
        <v/>
      </c>
      <c r="M39" s="6">
        <f>IF(OR(J39="",L39=""),"",ROUND(J39*L39,2))</f>
        <v/>
      </c>
      <c r="N39" s="7" t="n"/>
      <c r="O39" s="4" t="inlineStr">
        <is>
          <t>EXCEL ORIGINAL</t>
        </is>
      </c>
      <c r="P39" s="2">
        <f>IF(OR(K39="",L39=""),"FALTA","OK")</f>
        <v/>
      </c>
    </row>
    <row r="40">
      <c r="A40" s="2" t="n">
        <v>39</v>
      </c>
      <c r="B40" s="3" t="inlineStr">
        <is>
          <t>PROENERGIM-039</t>
        </is>
      </c>
      <c r="C40" s="2" t="inlineStr">
        <is>
          <t>QR INTERNO</t>
        </is>
      </c>
      <c r="D40" s="4" t="inlineStr">
        <is>
          <t>ALMACEN 2</t>
        </is>
      </c>
      <c r="E40" s="4" t="inlineStr">
        <is>
          <t>EPP</t>
        </is>
      </c>
      <c r="F40" s="5" t="inlineStr">
        <is>
          <t>PONCHOS</t>
        </is>
      </c>
      <c r="G40" s="4" t="inlineStr"/>
      <c r="H40" s="4" t="inlineStr"/>
      <c r="I40" s="2" t="inlineStr">
        <is>
          <t>UND</t>
        </is>
      </c>
      <c r="J40" s="2" t="n">
        <v>1</v>
      </c>
      <c r="K40" s="9" t="inlineStr"/>
      <c r="L40" s="6" t="n">
        <v/>
      </c>
      <c r="M40" s="6">
        <f>IF(OR(J40="",L40=""),"",ROUND(J40*L40,2))</f>
        <v/>
      </c>
      <c r="N40" s="7" t="n"/>
      <c r="O40" s="4" t="inlineStr">
        <is>
          <t>EXCEL ORIGINAL</t>
        </is>
      </c>
      <c r="P40" s="2">
        <f>IF(OR(K40="",L40=""),"FALTA","OK")</f>
        <v/>
      </c>
    </row>
    <row r="41">
      <c r="A41" s="2" t="n">
        <v>40</v>
      </c>
      <c r="B41" s="3" t="inlineStr">
        <is>
          <t>27501206689619</t>
        </is>
      </c>
      <c r="C41" s="2" t="inlineStr">
        <is>
          <t>FABRICA</t>
        </is>
      </c>
      <c r="D41" s="4" t="inlineStr">
        <is>
          <t>LAS MERCEDES</t>
        </is>
      </c>
      <c r="E41" s="4" t="inlineStr">
        <is>
          <t>FERRETERIA</t>
        </is>
      </c>
      <c r="F41" s="5" t="inlineStr">
        <is>
          <t>TECLE</t>
        </is>
      </c>
      <c r="G41" s="4" t="inlineStr">
        <is>
          <t>TRUPER</t>
        </is>
      </c>
      <c r="H41" s="4" t="inlineStr">
        <is>
          <t>POL-2 (cod 16826)</t>
        </is>
      </c>
      <c r="I41" s="2" t="inlineStr">
        <is>
          <t>UND</t>
        </is>
      </c>
      <c r="J41" s="2" t="n">
        <v>2</v>
      </c>
      <c r="K41" s="9" t="inlineStr"/>
      <c r="L41" s="6" t="n">
        <v/>
      </c>
      <c r="M41" s="6">
        <f>IF(OR(J41="",L41=""),"",ROUND(J41*L41,2))</f>
        <v/>
      </c>
      <c r="N41" s="7" t="n"/>
      <c r="O41" s="4" t="inlineStr">
        <is>
          <t>EXCEL ORIGINAL</t>
        </is>
      </c>
      <c r="P41" s="2">
        <f>IF(OR(K41="",L41=""),"FALTA","OK")</f>
        <v/>
      </c>
    </row>
    <row r="42">
      <c r="A42" s="2" t="n">
        <v>41</v>
      </c>
      <c r="B42" s="3" t="inlineStr">
        <is>
          <t>PROENERGIM-041</t>
        </is>
      </c>
      <c r="C42" s="2" t="inlineStr">
        <is>
          <t>QR INTERNO</t>
        </is>
      </c>
      <c r="D42" s="4" t="inlineStr">
        <is>
          <t>LAS MERCEDES</t>
        </is>
      </c>
      <c r="E42" s="4" t="inlineStr">
        <is>
          <t>FERRETERIA</t>
        </is>
      </c>
      <c r="F42" s="5" t="inlineStr">
        <is>
          <t>FOCOS</t>
        </is>
      </c>
      <c r="G42" s="4" t="inlineStr"/>
      <c r="H42" s="4" t="inlineStr"/>
      <c r="I42" s="2" t="inlineStr">
        <is>
          <t>UND</t>
        </is>
      </c>
      <c r="J42" s="2" t="n">
        <v>1</v>
      </c>
      <c r="K42" s="9" t="inlineStr"/>
      <c r="L42" s="6" t="n">
        <v/>
      </c>
      <c r="M42" s="6">
        <f>IF(OR(J42="",L42=""),"",ROUND(J42*L42,2))</f>
        <v/>
      </c>
      <c r="N42" s="7" t="n"/>
      <c r="O42" s="4" t="inlineStr">
        <is>
          <t>EXCEL ORIGINAL</t>
        </is>
      </c>
      <c r="P42" s="2">
        <f>IF(OR(K42="",L42=""),"FALTA","OK")</f>
        <v/>
      </c>
    </row>
    <row r="43">
      <c r="A43" s="2" t="n">
        <v>42</v>
      </c>
      <c r="B43" s="3" t="inlineStr">
        <is>
          <t>PROENERGIM-042</t>
        </is>
      </c>
      <c r="C43" s="2" t="inlineStr">
        <is>
          <t>QR INTERNO</t>
        </is>
      </c>
      <c r="D43" s="4" t="inlineStr">
        <is>
          <t>LAS MERCEDES</t>
        </is>
      </c>
      <c r="E43" s="4" t="inlineStr">
        <is>
          <t>FERRETERIA</t>
        </is>
      </c>
      <c r="F43" s="5" t="inlineStr">
        <is>
          <t>PERNOS</t>
        </is>
      </c>
      <c r="G43" s="4" t="inlineStr"/>
      <c r="H43" s="4" t="inlineStr"/>
      <c r="I43" s="2" t="inlineStr">
        <is>
          <t>UND</t>
        </is>
      </c>
      <c r="J43" s="2" t="n">
        <v>3</v>
      </c>
      <c r="K43" s="9" t="inlineStr"/>
      <c r="L43" s="6" t="n">
        <v/>
      </c>
      <c r="M43" s="6">
        <f>IF(OR(J43="",L43=""),"",ROUND(J43*L43,2))</f>
        <v/>
      </c>
      <c r="N43" s="7" t="n"/>
      <c r="O43" s="4" t="inlineStr">
        <is>
          <t>EXCEL ORIGINAL</t>
        </is>
      </c>
      <c r="P43" s="2">
        <f>IF(OR(K43="",L43=""),"FALTA","OK")</f>
        <v/>
      </c>
    </row>
    <row r="44">
      <c r="A44" s="2" t="n">
        <v>43</v>
      </c>
      <c r="B44" s="3" t="inlineStr">
        <is>
          <t>PROENERGIM-043</t>
        </is>
      </c>
      <c r="C44" s="2" t="inlineStr">
        <is>
          <t>QR INTERNO</t>
        </is>
      </c>
      <c r="D44" s="4" t="inlineStr">
        <is>
          <t>LAS MERCEDES</t>
        </is>
      </c>
      <c r="E44" s="4" t="inlineStr">
        <is>
          <t>FERRETERIA</t>
        </is>
      </c>
      <c r="F44" s="5" t="inlineStr">
        <is>
          <t>PERNO</t>
        </is>
      </c>
      <c r="G44" s="4" t="inlineStr"/>
      <c r="H44" s="4" t="inlineStr"/>
      <c r="I44" s="2" t="inlineStr">
        <is>
          <t>UND</t>
        </is>
      </c>
      <c r="J44" s="2" t="n">
        <v>62</v>
      </c>
      <c r="K44" s="9" t="inlineStr"/>
      <c r="L44" s="6" t="n">
        <v/>
      </c>
      <c r="M44" s="6">
        <f>IF(OR(J44="",L44=""),"",ROUND(J44*L44,2))</f>
        <v/>
      </c>
      <c r="N44" s="7" t="n"/>
      <c r="O44" s="4" t="inlineStr">
        <is>
          <t>EXCEL ORIGINAL</t>
        </is>
      </c>
      <c r="P44" s="2">
        <f>IF(OR(K44="",L44=""),"FALTA","OK")</f>
        <v/>
      </c>
    </row>
    <row r="45">
      <c r="A45" s="2" t="n">
        <v>44</v>
      </c>
      <c r="B45" s="3" t="inlineStr">
        <is>
          <t>PROENERGIM-044</t>
        </is>
      </c>
      <c r="C45" s="2" t="inlineStr">
        <is>
          <t>QR INTERNO</t>
        </is>
      </c>
      <c r="D45" s="4" t="inlineStr">
        <is>
          <t>LAS MERCEDES</t>
        </is>
      </c>
      <c r="E45" s="4" t="inlineStr">
        <is>
          <t>FERRETERIA</t>
        </is>
      </c>
      <c r="F45" s="5" t="inlineStr">
        <is>
          <t>TARUGOS</t>
        </is>
      </c>
      <c r="G45" s="4" t="inlineStr"/>
      <c r="H45" s="4" t="inlineStr"/>
      <c r="I45" s="2" t="inlineStr">
        <is>
          <t>UND</t>
        </is>
      </c>
      <c r="J45" s="2" t="n">
        <v>19</v>
      </c>
      <c r="K45" s="9" t="inlineStr"/>
      <c r="L45" s="6" t="n">
        <v/>
      </c>
      <c r="M45" s="6">
        <f>IF(OR(J45="",L45=""),"",ROUND(J45*L45,2))</f>
        <v/>
      </c>
      <c r="N45" s="7" t="n"/>
      <c r="O45" s="4" t="inlineStr">
        <is>
          <t>EXCEL ORIGINAL</t>
        </is>
      </c>
      <c r="P45" s="2">
        <f>IF(OR(K45="",L45=""),"FALTA","OK")</f>
        <v/>
      </c>
    </row>
    <row r="46">
      <c r="A46" s="2" t="n">
        <v>45</v>
      </c>
      <c r="B46" s="3" t="inlineStr">
        <is>
          <t>PROENERGIM-045</t>
        </is>
      </c>
      <c r="C46" s="2" t="inlineStr">
        <is>
          <t>QR INTERNO</t>
        </is>
      </c>
      <c r="D46" s="4" t="inlineStr">
        <is>
          <t>LAS MERCEDES</t>
        </is>
      </c>
      <c r="E46" s="4" t="inlineStr">
        <is>
          <t>FERRETERIA</t>
        </is>
      </c>
      <c r="F46" s="5" t="inlineStr">
        <is>
          <t>TARUGOS</t>
        </is>
      </c>
      <c r="G46" s="4" t="inlineStr"/>
      <c r="H46" s="4" t="inlineStr"/>
      <c r="I46" s="2" t="inlineStr">
        <is>
          <t>UND</t>
        </is>
      </c>
      <c r="J46" s="2" t="n">
        <v>75</v>
      </c>
      <c r="K46" s="9" t="inlineStr"/>
      <c r="L46" s="6" t="n">
        <v/>
      </c>
      <c r="M46" s="6">
        <f>IF(OR(J46="",L46=""),"",ROUND(J46*L46,2))</f>
        <v/>
      </c>
      <c r="N46" s="7" t="n"/>
      <c r="O46" s="4" t="inlineStr">
        <is>
          <t>EXCEL ORIGINAL</t>
        </is>
      </c>
      <c r="P46" s="2">
        <f>IF(OR(K46="",L46=""),"FALTA","OK")</f>
        <v/>
      </c>
    </row>
    <row r="47">
      <c r="A47" s="2" t="n">
        <v>46</v>
      </c>
      <c r="B47" s="3" t="inlineStr">
        <is>
          <t>PROENERGIM-046</t>
        </is>
      </c>
      <c r="C47" s="2" t="inlineStr">
        <is>
          <t>QR INTERNO</t>
        </is>
      </c>
      <c r="D47" s="4" t="inlineStr">
        <is>
          <t>LAS MERCEDES</t>
        </is>
      </c>
      <c r="E47" s="4" t="inlineStr">
        <is>
          <t>FERRETERIA</t>
        </is>
      </c>
      <c r="F47" s="5" t="inlineStr">
        <is>
          <t>TIRAFONES</t>
        </is>
      </c>
      <c r="G47" s="4" t="inlineStr"/>
      <c r="H47" s="4" t="inlineStr"/>
      <c r="I47" s="2" t="inlineStr">
        <is>
          <t>UND</t>
        </is>
      </c>
      <c r="J47" s="2" t="n">
        <v>84</v>
      </c>
      <c r="K47" s="9" t="inlineStr"/>
      <c r="L47" s="6" t="n">
        <v/>
      </c>
      <c r="M47" s="6">
        <f>IF(OR(J47="",L47=""),"",ROUND(J47*L47,2))</f>
        <v/>
      </c>
      <c r="N47" s="7" t="n"/>
      <c r="O47" s="4" t="inlineStr">
        <is>
          <t>EXCEL ORIGINAL</t>
        </is>
      </c>
      <c r="P47" s="2">
        <f>IF(OR(K47="",L47=""),"FALTA","OK")</f>
        <v/>
      </c>
    </row>
    <row r="48">
      <c r="A48" s="2" t="n">
        <v>47</v>
      </c>
      <c r="B48" s="3" t="inlineStr">
        <is>
          <t>C1215550013</t>
        </is>
      </c>
      <c r="C48" s="2" t="inlineStr">
        <is>
          <t>FABRICA</t>
        </is>
      </c>
      <c r="D48" s="4" t="inlineStr">
        <is>
          <t>LAS MERCEDES</t>
        </is>
      </c>
      <c r="E48" s="4" t="inlineStr">
        <is>
          <t>FERRETERIA</t>
        </is>
      </c>
      <c r="F48" s="5" t="inlineStr">
        <is>
          <t>CINTILLOS</t>
        </is>
      </c>
      <c r="G48" s="4" t="inlineStr">
        <is>
          <t>ATLANTIC Industry</t>
        </is>
      </c>
      <c r="H48" s="4" t="inlineStr">
        <is>
          <t>Nylon Cable Ties 4.8x300mm</t>
        </is>
      </c>
      <c r="I48" s="2" t="inlineStr">
        <is>
          <t>UND</t>
        </is>
      </c>
      <c r="J48" s="2" t="n">
        <v>2</v>
      </c>
      <c r="K48" s="9" t="inlineStr"/>
      <c r="L48" s="6" t="n">
        <v/>
      </c>
      <c r="M48" s="6">
        <f>IF(OR(J48="",L48=""),"",ROUND(J48*L48,2))</f>
        <v/>
      </c>
      <c r="N48" s="7" t="n"/>
      <c r="O48" s="4" t="inlineStr">
        <is>
          <t>EXCEL ORIGINAL</t>
        </is>
      </c>
      <c r="P48" s="2">
        <f>IF(OR(K48="",L48=""),"FALTA","OK")</f>
        <v/>
      </c>
    </row>
    <row r="49">
      <c r="A49" s="2" t="n">
        <v>48</v>
      </c>
      <c r="B49" s="3" t="inlineStr">
        <is>
          <t>PROENERGIM-048</t>
        </is>
      </c>
      <c r="C49" s="2" t="inlineStr">
        <is>
          <t>QR INTERNO</t>
        </is>
      </c>
      <c r="D49" s="4" t="inlineStr">
        <is>
          <t>LAS MERCEDES</t>
        </is>
      </c>
      <c r="E49" s="4" t="inlineStr">
        <is>
          <t>FERRETERIA</t>
        </is>
      </c>
      <c r="F49" s="5" t="inlineStr">
        <is>
          <t>TARUGITOS</t>
        </is>
      </c>
      <c r="G49" s="4" t="inlineStr"/>
      <c r="H49" s="4" t="inlineStr"/>
      <c r="I49" s="2" t="inlineStr">
        <is>
          <t>UND</t>
        </is>
      </c>
      <c r="J49" s="2" t="n">
        <v>59</v>
      </c>
      <c r="K49" s="9" t="inlineStr"/>
      <c r="L49" s="6" t="n">
        <v/>
      </c>
      <c r="M49" s="6">
        <f>IF(OR(J49="",L49=""),"",ROUND(J49*L49,2))</f>
        <v/>
      </c>
      <c r="N49" s="7" t="n"/>
      <c r="O49" s="4" t="inlineStr">
        <is>
          <t>EXCEL ORIGINAL</t>
        </is>
      </c>
      <c r="P49" s="2">
        <f>IF(OR(K49="",L49=""),"FALTA","OK")</f>
        <v/>
      </c>
    </row>
    <row r="50">
      <c r="A50" s="2" t="n">
        <v>49</v>
      </c>
      <c r="B50" s="3" t="inlineStr">
        <is>
          <t>C1115550016</t>
        </is>
      </c>
      <c r="C50" s="2" t="inlineStr">
        <is>
          <t>FABRICA</t>
        </is>
      </c>
      <c r="D50" s="4" t="inlineStr">
        <is>
          <t>LAS MERCEDES</t>
        </is>
      </c>
      <c r="E50" s="4" t="inlineStr">
        <is>
          <t>FERRETERIA</t>
        </is>
      </c>
      <c r="F50" s="5" t="inlineStr">
        <is>
          <t>CINTILLOS</t>
        </is>
      </c>
      <c r="G50" s="4" t="inlineStr">
        <is>
          <t>ATLANTIC Industry</t>
        </is>
      </c>
      <c r="H50" s="4" t="inlineStr">
        <is>
          <t>Nylon Cable Ties 2.5x100mm</t>
        </is>
      </c>
      <c r="I50" s="2" t="inlineStr">
        <is>
          <t>UND</t>
        </is>
      </c>
      <c r="J50" s="2" t="n">
        <v>12</v>
      </c>
      <c r="K50" s="9" t="inlineStr"/>
      <c r="L50" s="6" t="n">
        <v/>
      </c>
      <c r="M50" s="6">
        <f>IF(OR(J50="",L50=""),"",ROUND(J50*L50,2))</f>
        <v/>
      </c>
      <c r="N50" s="7" t="n"/>
      <c r="O50" s="4" t="inlineStr">
        <is>
          <t>EXCEL ORIGINAL</t>
        </is>
      </c>
      <c r="P50" s="2">
        <f>IF(OR(K50="",L50=""),"FALTA","OK")</f>
        <v/>
      </c>
    </row>
    <row r="51">
      <c r="A51" s="2" t="n">
        <v>50</v>
      </c>
      <c r="B51" s="3" t="inlineStr">
        <is>
          <t>PROENERGIM-050</t>
        </is>
      </c>
      <c r="C51" s="2" t="inlineStr">
        <is>
          <t>QR INTERNO</t>
        </is>
      </c>
      <c r="D51" s="4" t="inlineStr">
        <is>
          <t>LAS MERCEDES</t>
        </is>
      </c>
      <c r="E51" s="4" t="inlineStr">
        <is>
          <t>EQUIPO</t>
        </is>
      </c>
      <c r="F51" s="5" t="inlineStr">
        <is>
          <t>PANELES</t>
        </is>
      </c>
      <c r="G51" s="4" t="inlineStr"/>
      <c r="H51" s="4" t="inlineStr"/>
      <c r="I51" s="2" t="inlineStr">
        <is>
          <t>UND</t>
        </is>
      </c>
      <c r="J51" s="2" t="n">
        <v>75</v>
      </c>
      <c r="K51" s="9" t="inlineStr"/>
      <c r="L51" s="6" t="n">
        <v/>
      </c>
      <c r="M51" s="6">
        <f>IF(OR(J51="",L51=""),"",ROUND(J51*L51,2))</f>
        <v/>
      </c>
      <c r="N51" s="7" t="n"/>
      <c r="O51" s="4" t="inlineStr">
        <is>
          <t>EXCEL ORIGINAL</t>
        </is>
      </c>
      <c r="P51" s="2">
        <f>IF(OR(K51="",L51=""),"FALTA","OK")</f>
        <v/>
      </c>
    </row>
    <row r="52">
      <c r="A52" s="2" t="n">
        <v>51</v>
      </c>
      <c r="B52" s="3" t="inlineStr">
        <is>
          <t>PROENERGIM-051</t>
        </is>
      </c>
      <c r="C52" s="2" t="inlineStr">
        <is>
          <t>QR INTERNO</t>
        </is>
      </c>
      <c r="D52" s="4" t="inlineStr">
        <is>
          <t>LAS MERCEDES</t>
        </is>
      </c>
      <c r="E52" s="4" t="inlineStr">
        <is>
          <t>FERRETERIA</t>
        </is>
      </c>
      <c r="F52" s="5" t="inlineStr">
        <is>
          <t>CHAPA</t>
        </is>
      </c>
      <c r="G52" s="4" t="inlineStr"/>
      <c r="H52" s="4" t="inlineStr"/>
      <c r="I52" s="2" t="inlineStr">
        <is>
          <t>UND</t>
        </is>
      </c>
      <c r="J52" s="2" t="n">
        <v>107</v>
      </c>
      <c r="K52" s="9" t="inlineStr"/>
      <c r="L52" s="6" t="n">
        <v/>
      </c>
      <c r="M52" s="6">
        <f>IF(OR(J52="",L52=""),"",ROUND(J52*L52,2))</f>
        <v/>
      </c>
      <c r="N52" s="7" t="n"/>
      <c r="O52" s="4" t="inlineStr">
        <is>
          <t>EXCEL ORIGINAL</t>
        </is>
      </c>
      <c r="P52" s="2">
        <f>IF(OR(K52="",L52=""),"FALTA","OK")</f>
        <v/>
      </c>
    </row>
    <row r="53">
      <c r="A53" s="2" t="n">
        <v>52</v>
      </c>
      <c r="B53" s="3" t="inlineStr">
        <is>
          <t>PROENERGIM-052</t>
        </is>
      </c>
      <c r="C53" s="2" t="inlineStr">
        <is>
          <t>QR INTERNO</t>
        </is>
      </c>
      <c r="D53" s="4" t="inlineStr">
        <is>
          <t>LAS MERCEDES</t>
        </is>
      </c>
      <c r="E53" s="4" t="inlineStr">
        <is>
          <t>FERRETERIA</t>
        </is>
      </c>
      <c r="F53" s="5" t="inlineStr">
        <is>
          <t>SOPLADORA</t>
        </is>
      </c>
      <c r="G53" s="4" t="inlineStr"/>
      <c r="H53" s="4" t="inlineStr"/>
      <c r="I53" s="2" t="inlineStr">
        <is>
          <t>UND</t>
        </is>
      </c>
      <c r="J53" s="2" t="n">
        <v>1</v>
      </c>
      <c r="K53" s="9" t="inlineStr"/>
      <c r="L53" s="6" t="n">
        <v/>
      </c>
      <c r="M53" s="6">
        <f>IF(OR(J53="",L53=""),"",ROUND(J53*L53,2))</f>
        <v/>
      </c>
      <c r="N53" s="7" t="n"/>
      <c r="O53" s="4" t="inlineStr">
        <is>
          <t>EXCEL ORIGINAL</t>
        </is>
      </c>
      <c r="P53" s="2">
        <f>IF(OR(K53="",L53=""),"FALTA","OK")</f>
        <v/>
      </c>
    </row>
    <row r="54">
      <c r="A54" s="2" t="n">
        <v>53</v>
      </c>
      <c r="B54" s="3" t="inlineStr">
        <is>
          <t>PROENERGIM-053</t>
        </is>
      </c>
      <c r="C54" s="2" t="inlineStr">
        <is>
          <t>QR INTERNO</t>
        </is>
      </c>
      <c r="D54" s="4" t="inlineStr">
        <is>
          <t>LAS MERCEDES</t>
        </is>
      </c>
      <c r="E54" s="4" t="inlineStr">
        <is>
          <t>FERRETERIA</t>
        </is>
      </c>
      <c r="F54" s="5" t="inlineStr">
        <is>
          <t>LLAVE ESTRILPOL</t>
        </is>
      </c>
      <c r="G54" s="4" t="inlineStr">
        <is>
          <t>-</t>
        </is>
      </c>
      <c r="H54" s="4" t="inlineStr">
        <is>
          <t>Llave Stillson 24"</t>
        </is>
      </c>
      <c r="I54" s="2" t="inlineStr">
        <is>
          <t>UND</t>
        </is>
      </c>
      <c r="J54" s="2" t="n">
        <v>1</v>
      </c>
      <c r="K54" s="9" t="inlineStr"/>
      <c r="L54" s="6" t="n">
        <v/>
      </c>
      <c r="M54" s="6">
        <f>IF(OR(J54="",L54=""),"",ROUND(J54*L54,2))</f>
        <v/>
      </c>
      <c r="N54" s="7" t="n"/>
      <c r="O54" s="4" t="inlineStr">
        <is>
          <t>EXCEL ORIGINAL</t>
        </is>
      </c>
      <c r="P54" s="2">
        <f>IF(OR(K54="",L54=""),"FALTA","OK")</f>
        <v/>
      </c>
    </row>
    <row r="55">
      <c r="A55" s="2" t="n">
        <v>54</v>
      </c>
      <c r="B55" s="3" t="inlineStr">
        <is>
          <t>PROENERGIM-054</t>
        </is>
      </c>
      <c r="C55" s="2" t="inlineStr">
        <is>
          <t>QR INTERNO</t>
        </is>
      </c>
      <c r="D55" s="4" t="inlineStr">
        <is>
          <t>LAS MERCEDES</t>
        </is>
      </c>
      <c r="E55" s="4" t="inlineStr">
        <is>
          <t>FERRETERIA</t>
        </is>
      </c>
      <c r="F55" s="5" t="inlineStr">
        <is>
          <t>SOPLADORA</t>
        </is>
      </c>
      <c r="G55" s="4" t="inlineStr"/>
      <c r="H55" s="4" t="inlineStr"/>
      <c r="I55" s="2" t="inlineStr">
        <is>
          <t>UND</t>
        </is>
      </c>
      <c r="J55" s="2" t="n">
        <v>1</v>
      </c>
      <c r="K55" s="9" t="inlineStr"/>
      <c r="L55" s="6" t="n">
        <v/>
      </c>
      <c r="M55" s="6">
        <f>IF(OR(J55="",L55=""),"",ROUND(J55*L55,2))</f>
        <v/>
      </c>
      <c r="N55" s="7" t="n"/>
      <c r="O55" s="4" t="inlineStr">
        <is>
          <t>EXCEL ORIGINAL</t>
        </is>
      </c>
      <c r="P55" s="2">
        <f>IF(OR(K55="",L55=""),"FALTA","OK")</f>
        <v/>
      </c>
    </row>
    <row r="56">
      <c r="A56" s="2" t="n">
        <v>55</v>
      </c>
      <c r="B56" s="3" t="inlineStr">
        <is>
          <t>PROENERGIM-055</t>
        </is>
      </c>
      <c r="C56" s="2" t="inlineStr">
        <is>
          <t>QR INTERNO</t>
        </is>
      </c>
      <c r="D56" s="4" t="inlineStr">
        <is>
          <t>LAS MERCEDES</t>
        </is>
      </c>
      <c r="E56" s="4" t="inlineStr">
        <is>
          <t>FERRETERIA</t>
        </is>
      </c>
      <c r="F56" s="5" t="inlineStr">
        <is>
          <t>TALADRO PERCUTOR MILWAUKEE M18</t>
        </is>
      </c>
      <c r="G56" s="4" t="inlineStr">
        <is>
          <t>Milwaukee</t>
        </is>
      </c>
      <c r="H56" s="4" t="inlineStr">
        <is>
          <t>M18 Brushless</t>
        </is>
      </c>
      <c r="I56" s="2" t="inlineStr">
        <is>
          <t>UND</t>
        </is>
      </c>
      <c r="J56" s="2" t="n">
        <v>1</v>
      </c>
      <c r="K56" s="9" t="inlineStr"/>
      <c r="L56" s="6" t="n">
        <v/>
      </c>
      <c r="M56" s="6">
        <f>IF(OR(J56="",L56=""),"",ROUND(J56*L56,2))</f>
        <v/>
      </c>
      <c r="N56" s="7" t="n"/>
      <c r="O56" s="4" t="inlineStr">
        <is>
          <t>EXCEL ORIGINAL</t>
        </is>
      </c>
      <c r="P56" s="2">
        <f>IF(OR(K56="",L56=""),"FALTA","OK")</f>
        <v/>
      </c>
    </row>
    <row r="57">
      <c r="A57" s="2" t="n">
        <v>56</v>
      </c>
      <c r="B57" s="3" t="inlineStr">
        <is>
          <t>PROENERGIM-056</t>
        </is>
      </c>
      <c r="C57" s="2" t="inlineStr">
        <is>
          <t>QR INTERNO</t>
        </is>
      </c>
      <c r="D57" s="4" t="inlineStr">
        <is>
          <t>LAS MERCEDES</t>
        </is>
      </c>
      <c r="E57" s="4" t="inlineStr">
        <is>
          <t>FERRETERIA</t>
        </is>
      </c>
      <c r="F57" s="5" t="inlineStr">
        <is>
          <t>CABLE (POR UNIDAD / ROLLO)</t>
        </is>
      </c>
      <c r="G57" s="4" t="inlineStr">
        <is>
          <t>-</t>
        </is>
      </c>
      <c r="H57" s="4" t="inlineStr">
        <is>
          <t>-</t>
        </is>
      </c>
      <c r="I57" s="2" t="inlineStr">
        <is>
          <t>UND</t>
        </is>
      </c>
      <c r="J57" s="2" t="n">
        <v>1</v>
      </c>
      <c r="K57" s="9" t="inlineStr"/>
      <c r="L57" s="6" t="n">
        <v/>
      </c>
      <c r="M57" s="6">
        <f>IF(OR(J57="",L57=""),"",ROUND(J57*L57,2))</f>
        <v/>
      </c>
      <c r="N57" s="7" t="n"/>
      <c r="O57" s="4" t="inlineStr">
        <is>
          <t>EXCEL ORIGINAL</t>
        </is>
      </c>
      <c r="P57" s="2">
        <f>IF(OR(K57="",L57=""),"FALTA","OK")</f>
        <v/>
      </c>
    </row>
    <row r="58">
      <c r="A58" s="2" t="n">
        <v>57</v>
      </c>
      <c r="B58" s="3" t="inlineStr">
        <is>
          <t>PROENERGIM-057</t>
        </is>
      </c>
      <c r="C58" s="2" t="inlineStr">
        <is>
          <t>QR INTERNO</t>
        </is>
      </c>
      <c r="D58" s="4" t="inlineStr">
        <is>
          <t>LAS MERCEDES</t>
        </is>
      </c>
      <c r="E58" s="4" t="inlineStr">
        <is>
          <t>FERRETERIA</t>
        </is>
      </c>
      <c r="F58" s="5" t="inlineStr">
        <is>
          <t>DISCOS</t>
        </is>
      </c>
      <c r="G58" s="4" t="inlineStr"/>
      <c r="H58" s="4" t="inlineStr"/>
      <c r="I58" s="2" t="inlineStr">
        <is>
          <t>UND</t>
        </is>
      </c>
      <c r="J58" s="2" t="n">
        <v>2</v>
      </c>
      <c r="K58" s="9" t="inlineStr"/>
      <c r="L58" s="6" t="n">
        <v/>
      </c>
      <c r="M58" s="6">
        <f>IF(OR(J58="",L58=""),"",ROUND(J58*L58,2))</f>
        <v/>
      </c>
      <c r="N58" s="7" t="n"/>
      <c r="O58" s="4" t="inlineStr">
        <is>
          <t>EXCEL ORIGINAL</t>
        </is>
      </c>
      <c r="P58" s="2">
        <f>IF(OR(K58="",L58=""),"FALTA","OK")</f>
        <v/>
      </c>
    </row>
    <row r="59">
      <c r="A59" s="2" t="n">
        <v>58</v>
      </c>
      <c r="B59" s="3" t="inlineStr">
        <is>
          <t>PROENERGIM-058</t>
        </is>
      </c>
      <c r="C59" s="2" t="inlineStr">
        <is>
          <t>QR INTERNO</t>
        </is>
      </c>
      <c r="D59" s="4" t="inlineStr">
        <is>
          <t>LAS MERCEDES</t>
        </is>
      </c>
      <c r="E59" s="4" t="inlineStr">
        <is>
          <t>FERRETERIA</t>
        </is>
      </c>
      <c r="F59" s="5" t="inlineStr">
        <is>
          <t>ALICATE</t>
        </is>
      </c>
      <c r="G59" s="4" t="inlineStr"/>
      <c r="H59" s="4" t="inlineStr"/>
      <c r="I59" s="2" t="inlineStr">
        <is>
          <t>UND</t>
        </is>
      </c>
      <c r="J59" s="2" t="n">
        <v>13</v>
      </c>
      <c r="K59" s="9" t="inlineStr"/>
      <c r="L59" s="6" t="n">
        <v/>
      </c>
      <c r="M59" s="6">
        <f>IF(OR(J59="",L59=""),"",ROUND(J59*L59,2))</f>
        <v/>
      </c>
      <c r="N59" s="7" t="n"/>
      <c r="O59" s="4" t="inlineStr">
        <is>
          <t>EXCEL ORIGINAL</t>
        </is>
      </c>
      <c r="P59" s="2">
        <f>IF(OR(K59="",L59=""),"FALTA","OK")</f>
        <v/>
      </c>
    </row>
    <row r="60">
      <c r="A60" s="2" t="n">
        <v>59</v>
      </c>
      <c r="B60" s="3" t="inlineStr">
        <is>
          <t>PROENERGIM-059</t>
        </is>
      </c>
      <c r="C60" s="2" t="inlineStr">
        <is>
          <t>QR INTERNO</t>
        </is>
      </c>
      <c r="D60" s="4" t="inlineStr">
        <is>
          <t>LAS MERCEDES</t>
        </is>
      </c>
      <c r="E60" s="4" t="inlineStr">
        <is>
          <t>FERRETERIA</t>
        </is>
      </c>
      <c r="F60" s="5" t="inlineStr">
        <is>
          <t>ESCUADRA</t>
        </is>
      </c>
      <c r="G60" s="4" t="inlineStr"/>
      <c r="H60" s="4" t="inlineStr"/>
      <c r="I60" s="2" t="inlineStr">
        <is>
          <t>UND</t>
        </is>
      </c>
      <c r="J60" s="2" t="n">
        <v>1</v>
      </c>
      <c r="K60" s="9" t="inlineStr"/>
      <c r="L60" s="6" t="n">
        <v/>
      </c>
      <c r="M60" s="6">
        <f>IF(OR(J60="",L60=""),"",ROUND(J60*L60,2))</f>
        <v/>
      </c>
      <c r="N60" s="7" t="n"/>
      <c r="O60" s="4" t="inlineStr">
        <is>
          <t>EXCEL ORIGINAL</t>
        </is>
      </c>
      <c r="P60" s="2">
        <f>IF(OR(K60="",L60=""),"FALTA","OK")</f>
        <v/>
      </c>
    </row>
    <row r="61">
      <c r="A61" s="2" t="n">
        <v>60</v>
      </c>
      <c r="B61" s="3" t="inlineStr">
        <is>
          <t>PROENERGIM-060</t>
        </is>
      </c>
      <c r="C61" s="2" t="inlineStr">
        <is>
          <t>QR INTERNO</t>
        </is>
      </c>
      <c r="D61" s="4" t="inlineStr">
        <is>
          <t>LAS MERCEDES</t>
        </is>
      </c>
      <c r="E61" s="4" t="inlineStr">
        <is>
          <t>FERRETERIA</t>
        </is>
      </c>
      <c r="F61" s="5" t="inlineStr">
        <is>
          <t>TALADRO 2 (POR IDENTIFICAR)</t>
        </is>
      </c>
      <c r="G61" s="4" t="inlineStr"/>
      <c r="H61" s="4" t="inlineStr"/>
      <c r="I61" s="2" t="inlineStr">
        <is>
          <t>UND</t>
        </is>
      </c>
      <c r="J61" s="2" t="n">
        <v>1</v>
      </c>
      <c r="K61" s="9" t="inlineStr"/>
      <c r="L61" s="6" t="n">
        <v/>
      </c>
      <c r="M61" s="6">
        <f>IF(OR(J61="",L61=""),"",ROUND(J61*L61,2))</f>
        <v/>
      </c>
      <c r="N61" s="7" t="n"/>
      <c r="O61" s="4" t="inlineStr">
        <is>
          <t>EXCEL ORIGINAL</t>
        </is>
      </c>
      <c r="P61" s="2">
        <f>IF(OR(K61="",L61=""),"FALTA","OK")</f>
        <v/>
      </c>
    </row>
    <row r="62">
      <c r="A62" s="2" t="n">
        <v>61</v>
      </c>
      <c r="B62" s="3" t="inlineStr">
        <is>
          <t>PROENERGIM-061</t>
        </is>
      </c>
      <c r="C62" s="2" t="inlineStr">
        <is>
          <t>QR INTERNO</t>
        </is>
      </c>
      <c r="D62" s="4" t="inlineStr">
        <is>
          <t>LAS MERCEDES</t>
        </is>
      </c>
      <c r="E62" s="4" t="inlineStr">
        <is>
          <t>FERRETERIA</t>
        </is>
      </c>
      <c r="F62" s="5" t="inlineStr">
        <is>
          <t>MOLADORA</t>
        </is>
      </c>
      <c r="G62" s="4" t="inlineStr">
        <is>
          <t>Dkamax</t>
        </is>
      </c>
      <c r="H62" s="4" t="inlineStr">
        <is>
          <t>DKM-660</t>
        </is>
      </c>
      <c r="I62" s="2" t="inlineStr">
        <is>
          <t>UND</t>
        </is>
      </c>
      <c r="J62" s="2" t="n">
        <v>1</v>
      </c>
      <c r="K62" s="9" t="inlineStr"/>
      <c r="L62" s="6" t="n">
        <v/>
      </c>
      <c r="M62" s="6">
        <f>IF(OR(J62="",L62=""),"",ROUND(J62*L62,2))</f>
        <v/>
      </c>
      <c r="N62" s="7" t="n"/>
      <c r="O62" s="4" t="inlineStr">
        <is>
          <t>EXCEL ORIGINAL</t>
        </is>
      </c>
      <c r="P62" s="2">
        <f>IF(OR(K62="",L62=""),"FALTA","OK")</f>
        <v/>
      </c>
    </row>
    <row r="63">
      <c r="A63" s="2" t="n">
        <v>62</v>
      </c>
      <c r="B63" s="3" t="inlineStr">
        <is>
          <t>PROENERGIM-062</t>
        </is>
      </c>
      <c r="C63" s="2" t="inlineStr">
        <is>
          <t>QR INTERNO</t>
        </is>
      </c>
      <c r="D63" s="4" t="inlineStr">
        <is>
          <t>LAS MERCEDES</t>
        </is>
      </c>
      <c r="E63" s="4" t="inlineStr">
        <is>
          <t>FERRETERIA</t>
        </is>
      </c>
      <c r="F63" s="5" t="inlineStr">
        <is>
          <t>NIVELADORA</t>
        </is>
      </c>
      <c r="G63" s="4" t="inlineStr"/>
      <c r="H63" s="4" t="inlineStr"/>
      <c r="I63" s="2" t="inlineStr">
        <is>
          <t>UND</t>
        </is>
      </c>
      <c r="J63" s="2" t="n">
        <v>2</v>
      </c>
      <c r="K63" s="9" t="inlineStr"/>
      <c r="L63" s="6" t="n">
        <v/>
      </c>
      <c r="M63" s="6">
        <f>IF(OR(J63="",L63=""),"",ROUND(J63*L63,2))</f>
        <v/>
      </c>
      <c r="N63" s="7" t="n"/>
      <c r="O63" s="4" t="inlineStr">
        <is>
          <t>EXCEL ORIGINAL</t>
        </is>
      </c>
      <c r="P63" s="2">
        <f>IF(OR(K63="",L63=""),"FALTA","OK")</f>
        <v/>
      </c>
    </row>
    <row r="64">
      <c r="A64" s="2" t="n">
        <v>63</v>
      </c>
      <c r="B64" s="3" t="inlineStr">
        <is>
          <t>PROENERGIM-063</t>
        </is>
      </c>
      <c r="C64" s="2" t="inlineStr">
        <is>
          <t>QR INTERNO</t>
        </is>
      </c>
      <c r="D64" s="4" t="inlineStr">
        <is>
          <t>LAS MERCEDES</t>
        </is>
      </c>
      <c r="E64" s="4" t="inlineStr">
        <is>
          <t>FERRETERIA</t>
        </is>
      </c>
      <c r="F64" s="5" t="inlineStr">
        <is>
          <t>BANDEJA REJILLA BF2R-100X65 EZ1000 - L=3M BASOR</t>
        </is>
      </c>
      <c r="G64" s="4" t="inlineStr"/>
      <c r="H64" s="4" t="inlineStr"/>
      <c r="I64" s="2" t="inlineStr">
        <is>
          <t>UND</t>
        </is>
      </c>
      <c r="J64" s="2" t="n">
        <v>30</v>
      </c>
      <c r="K64" s="2" t="inlineStr">
        <is>
          <t>SOLES</t>
        </is>
      </c>
      <c r="L64" s="6" t="n">
        <v>59.93</v>
      </c>
      <c r="M64" s="6">
        <f>IF(OR(J64="",L64=""),"",ROUND(J64*L64,2))</f>
        <v/>
      </c>
      <c r="N64" s="7" t="n">
        <v>45985</v>
      </c>
      <c r="O64" s="4" t="inlineStr">
        <is>
          <t>EXCEL ORIGINAL</t>
        </is>
      </c>
      <c r="P64" s="2">
        <f>IF(OR(K64="",L64=""),"FALTA","OK")</f>
        <v/>
      </c>
    </row>
    <row r="65">
      <c r="A65" s="2" t="n">
        <v>64</v>
      </c>
      <c r="B65" s="3" t="inlineStr">
        <is>
          <t>PROENERGIM-064</t>
        </is>
      </c>
      <c r="C65" s="2" t="inlineStr">
        <is>
          <t>QR INTERNO</t>
        </is>
      </c>
      <c r="D65" s="4" t="inlineStr">
        <is>
          <t>LAS MERCEDES</t>
        </is>
      </c>
      <c r="E65" s="4" t="inlineStr">
        <is>
          <t>FERRETERIA</t>
        </is>
      </c>
      <c r="F65" s="5" t="inlineStr">
        <is>
          <t>POLEA</t>
        </is>
      </c>
      <c r="G65" s="4" t="inlineStr"/>
      <c r="H65" s="4" t="inlineStr"/>
      <c r="I65" s="2" t="inlineStr">
        <is>
          <t>UND</t>
        </is>
      </c>
      <c r="J65" s="2" t="n">
        <v>1</v>
      </c>
      <c r="K65" s="9" t="inlineStr"/>
      <c r="L65" s="6" t="n">
        <v/>
      </c>
      <c r="M65" s="6">
        <f>IF(OR(J65="",L65=""),"",ROUND(J65*L65,2))</f>
        <v/>
      </c>
      <c r="N65" s="7" t="n"/>
      <c r="O65" s="4" t="inlineStr">
        <is>
          <t>EXCEL ORIGINAL</t>
        </is>
      </c>
      <c r="P65" s="2">
        <f>IF(OR(K65="",L65=""),"FALTA","OK")</f>
        <v/>
      </c>
    </row>
    <row r="66">
      <c r="A66" s="2" t="n">
        <v>65</v>
      </c>
      <c r="B66" s="3" t="inlineStr">
        <is>
          <t>PROENERGIM-065</t>
        </is>
      </c>
      <c r="C66" s="2" t="inlineStr">
        <is>
          <t>QR INTERNO</t>
        </is>
      </c>
      <c r="D66" s="4" t="inlineStr">
        <is>
          <t>LAS MERCEDES</t>
        </is>
      </c>
      <c r="E66" s="4" t="inlineStr">
        <is>
          <t>FERRETERIA</t>
        </is>
      </c>
      <c r="F66" s="5" t="inlineStr">
        <is>
          <t>SIERRA</t>
        </is>
      </c>
      <c r="G66" s="4" t="inlineStr"/>
      <c r="H66" s="4" t="inlineStr"/>
      <c r="I66" s="2" t="inlineStr">
        <is>
          <t>UND</t>
        </is>
      </c>
      <c r="J66" s="2" t="n">
        <v>1</v>
      </c>
      <c r="K66" s="9" t="inlineStr"/>
      <c r="L66" s="6" t="n">
        <v/>
      </c>
      <c r="M66" s="6">
        <f>IF(OR(J66="",L66=""),"",ROUND(J66*L66,2))</f>
        <v/>
      </c>
      <c r="N66" s="7" t="n"/>
      <c r="O66" s="4" t="inlineStr">
        <is>
          <t>EXCEL ORIGINAL</t>
        </is>
      </c>
      <c r="P66" s="2">
        <f>IF(OR(K66="",L66=""),"FALTA","OK")</f>
        <v/>
      </c>
    </row>
    <row r="67">
      <c r="A67" s="2" t="n">
        <v>66</v>
      </c>
      <c r="B67" s="3" t="inlineStr">
        <is>
          <t>6941545632056</t>
        </is>
      </c>
      <c r="C67" s="2" t="inlineStr">
        <is>
          <t>FABRICA</t>
        </is>
      </c>
      <c r="D67" s="4" t="inlineStr">
        <is>
          <t>LAS MERCEDES</t>
        </is>
      </c>
      <c r="E67" s="4" t="inlineStr">
        <is>
          <t>FERRETERIA</t>
        </is>
      </c>
      <c r="F67" s="5" t="inlineStr">
        <is>
          <t>CAMARA</t>
        </is>
      </c>
      <c r="G67" s="4" t="inlineStr">
        <is>
          <t>EZVIZ</t>
        </is>
      </c>
      <c r="H67" s="4" t="inlineStr">
        <is>
          <t>CS-H7c (EZH7C44WF)</t>
        </is>
      </c>
      <c r="I67" s="2" t="inlineStr">
        <is>
          <t>UND</t>
        </is>
      </c>
      <c r="J67" s="2" t="n">
        <v>1</v>
      </c>
      <c r="K67" s="9" t="inlineStr"/>
      <c r="L67" s="6" t="n">
        <v/>
      </c>
      <c r="M67" s="6">
        <f>IF(OR(J67="",L67=""),"",ROUND(J67*L67,2))</f>
        <v/>
      </c>
      <c r="N67" s="7" t="n"/>
      <c r="O67" s="4" t="inlineStr">
        <is>
          <t>EXCEL ORIGINAL</t>
        </is>
      </c>
      <c r="P67" s="2">
        <f>IF(OR(K67="",L67=""),"FALTA","OK")</f>
        <v/>
      </c>
    </row>
    <row r="68">
      <c r="A68" s="2" t="n">
        <v>67</v>
      </c>
      <c r="B68" s="3" t="inlineStr">
        <is>
          <t>MI20260410J00000899</t>
        </is>
      </c>
      <c r="C68" s="2" t="inlineStr">
        <is>
          <t>FABRICA</t>
        </is>
      </c>
      <c r="D68" s="4" t="inlineStr">
        <is>
          <t>LAS MERCEDES</t>
        </is>
      </c>
      <c r="E68" s="4" t="inlineStr">
        <is>
          <t>FERRETERIA</t>
        </is>
      </c>
      <c r="F68" s="5" t="inlineStr">
        <is>
          <t>BATERIA</t>
        </is>
      </c>
      <c r="G68" s="4" t="inlineStr">
        <is>
          <t>SONNE technology</t>
        </is>
      </c>
      <c r="H68" s="4" t="inlineStr">
        <is>
          <t>GEL-100</t>
        </is>
      </c>
      <c r="I68" s="2" t="inlineStr">
        <is>
          <t>UND</t>
        </is>
      </c>
      <c r="J68" s="2" t="n">
        <v>1</v>
      </c>
      <c r="K68" s="9" t="inlineStr"/>
      <c r="L68" s="6" t="n">
        <v/>
      </c>
      <c r="M68" s="6">
        <f>IF(OR(J68="",L68=""),"",ROUND(J68*L68,2))</f>
        <v/>
      </c>
      <c r="N68" s="7" t="n"/>
      <c r="O68" s="4" t="inlineStr">
        <is>
          <t>EXCEL ORIGINAL</t>
        </is>
      </c>
      <c r="P68" s="2">
        <f>IF(OR(K68="",L68=""),"FALTA","OK")</f>
        <v/>
      </c>
    </row>
    <row r="69">
      <c r="A69" s="2" t="n">
        <v>68</v>
      </c>
      <c r="B69" s="3" t="inlineStr">
        <is>
          <t>PROENERGIM-068</t>
        </is>
      </c>
      <c r="C69" s="2" t="inlineStr">
        <is>
          <t>QR INTERNO</t>
        </is>
      </c>
      <c r="D69" s="4" t="inlineStr">
        <is>
          <t>LAS MERCEDES</t>
        </is>
      </c>
      <c r="E69" s="4" t="inlineStr">
        <is>
          <t>FERRETERIA</t>
        </is>
      </c>
      <c r="F69" s="5" t="inlineStr">
        <is>
          <t>MEMORIAS</t>
        </is>
      </c>
      <c r="G69" s="4" t="inlineStr"/>
      <c r="H69" s="4" t="inlineStr"/>
      <c r="I69" s="2" t="inlineStr">
        <is>
          <t>UND</t>
        </is>
      </c>
      <c r="J69" s="2" t="n">
        <v>3</v>
      </c>
      <c r="K69" s="9" t="inlineStr"/>
      <c r="L69" s="6" t="n">
        <v/>
      </c>
      <c r="M69" s="6">
        <f>IF(OR(J69="",L69=""),"",ROUND(J69*L69,2))</f>
        <v/>
      </c>
      <c r="N69" s="7" t="n"/>
      <c r="O69" s="4" t="inlineStr">
        <is>
          <t>EXCEL ORIGINAL</t>
        </is>
      </c>
      <c r="P69" s="2">
        <f>IF(OR(K69="",L69=""),"FALTA","OK")</f>
        <v/>
      </c>
    </row>
    <row r="70">
      <c r="A70" s="2" t="n">
        <v>69</v>
      </c>
      <c r="B70" s="3" t="inlineStr">
        <is>
          <t>PROENERGIM-069</t>
        </is>
      </c>
      <c r="C70" s="2" t="inlineStr">
        <is>
          <t>QR INTERNO</t>
        </is>
      </c>
      <c r="D70" s="4" t="inlineStr">
        <is>
          <t>LAS MERCEDES</t>
        </is>
      </c>
      <c r="E70" s="4" t="inlineStr">
        <is>
          <t>FERRETERIA</t>
        </is>
      </c>
      <c r="F70" s="5" t="inlineStr">
        <is>
          <t>CLAVOS</t>
        </is>
      </c>
      <c r="G70" s="4" t="inlineStr"/>
      <c r="H70" s="4" t="inlineStr"/>
      <c r="I70" s="2" t="inlineStr">
        <is>
          <t>UND</t>
        </is>
      </c>
      <c r="J70" s="2" t="n">
        <v>13</v>
      </c>
      <c r="K70" s="9" t="inlineStr"/>
      <c r="L70" s="6" t="n">
        <v/>
      </c>
      <c r="M70" s="6">
        <f>IF(OR(J70="",L70=""),"",ROUND(J70*L70,2))</f>
        <v/>
      </c>
      <c r="N70" s="7" t="n"/>
      <c r="O70" s="4" t="inlineStr">
        <is>
          <t>EXCEL ORIGINAL</t>
        </is>
      </c>
      <c r="P70" s="2">
        <f>IF(OR(K70="",L70=""),"FALTA","OK")</f>
        <v/>
      </c>
    </row>
    <row r="71">
      <c r="A71" s="2" t="n">
        <v>70</v>
      </c>
      <c r="B71" s="3" t="inlineStr">
        <is>
          <t>PROENERGIM-070</t>
        </is>
      </c>
      <c r="C71" s="2" t="inlineStr">
        <is>
          <t>QR INTERNO</t>
        </is>
      </c>
      <c r="D71" s="4" t="inlineStr">
        <is>
          <t>LAS MERCEDES</t>
        </is>
      </c>
      <c r="E71" s="4" t="inlineStr">
        <is>
          <t>FERRETERIA</t>
        </is>
      </c>
      <c r="F71" s="5" t="inlineStr">
        <is>
          <t>COMPRESORA - LAS MERCEDES</t>
        </is>
      </c>
      <c r="G71" s="4" t="inlineStr"/>
      <c r="H71" s="4" t="inlineStr"/>
      <c r="I71" s="2" t="inlineStr">
        <is>
          <t>UND</t>
        </is>
      </c>
      <c r="J71" s="2" t="n">
        <v>1</v>
      </c>
      <c r="K71" s="9" t="inlineStr"/>
      <c r="L71" s="6" t="n">
        <v/>
      </c>
      <c r="M71" s="6">
        <f>IF(OR(J71="",L71=""),"",ROUND(J71*L71,2))</f>
        <v/>
      </c>
      <c r="N71" s="7" t="n"/>
      <c r="O71" s="4" t="inlineStr">
        <is>
          <t>EXCEL ORIGINAL</t>
        </is>
      </c>
      <c r="P71" s="2">
        <f>IF(OR(K71="",L71=""),"FALTA","OK")</f>
        <v/>
      </c>
    </row>
    <row r="72">
      <c r="A72" s="2" t="n">
        <v>71</v>
      </c>
      <c r="B72" s="3" t="inlineStr">
        <is>
          <t>PROENERGIM-071</t>
        </is>
      </c>
      <c r="C72" s="2" t="inlineStr">
        <is>
          <t>QR INTERNO</t>
        </is>
      </c>
      <c r="D72" s="4" t="inlineStr">
        <is>
          <t>LAS MERCEDES</t>
        </is>
      </c>
      <c r="E72" s="4" t="inlineStr">
        <is>
          <t>FERRETERIA</t>
        </is>
      </c>
      <c r="F72" s="5" t="inlineStr">
        <is>
          <t>ABRASADERA</t>
        </is>
      </c>
      <c r="G72" s="4" t="inlineStr"/>
      <c r="H72" s="4" t="inlineStr"/>
      <c r="I72" s="2" t="inlineStr">
        <is>
          <t>UND</t>
        </is>
      </c>
      <c r="J72" s="2" t="n">
        <v>1</v>
      </c>
      <c r="K72" s="9" t="inlineStr"/>
      <c r="L72" s="6" t="n">
        <v/>
      </c>
      <c r="M72" s="6">
        <f>IF(OR(J72="",L72=""),"",ROUND(J72*L72,2))</f>
        <v/>
      </c>
      <c r="N72" s="7" t="n"/>
      <c r="O72" s="4" t="inlineStr">
        <is>
          <t>EXCEL ORIGINAL</t>
        </is>
      </c>
      <c r="P72" s="2">
        <f>IF(OR(K72="",L72=""),"FALTA","OK")</f>
        <v/>
      </c>
    </row>
    <row r="73">
      <c r="A73" s="8" t="n">
        <v>72</v>
      </c>
      <c r="B73" s="3" t="inlineStr">
        <is>
          <t>PROENERGIM-072</t>
        </is>
      </c>
      <c r="C73" s="2" t="inlineStr">
        <is>
          <t>QR INTERNO</t>
        </is>
      </c>
      <c r="D73" s="4" t="inlineStr">
        <is>
          <t>LAS MERCEDES</t>
        </is>
      </c>
      <c r="E73" s="4" t="inlineStr">
        <is>
          <t>FERRETERIA</t>
        </is>
      </c>
      <c r="F73" s="5" t="inlineStr">
        <is>
          <t>PUNTERAS</t>
        </is>
      </c>
      <c r="G73" s="4" t="inlineStr"/>
      <c r="H73" s="4" t="inlineStr"/>
      <c r="I73" s="2" t="inlineStr">
        <is>
          <t>UND</t>
        </is>
      </c>
      <c r="J73" s="9" t="n">
        <v>0</v>
      </c>
      <c r="K73" s="9" t="inlineStr"/>
      <c r="L73" s="6" t="n">
        <v/>
      </c>
      <c r="M73" s="6">
        <f>IF(OR(J73="",L73=""),"",ROUND(J73*L73,2))</f>
        <v/>
      </c>
      <c r="N73" s="7" t="n"/>
      <c r="O73" s="4" t="inlineStr">
        <is>
          <t>EXCEL ORIGINAL</t>
        </is>
      </c>
      <c r="P73" s="2">
        <f>IF(OR(K73="",L73=""),"FALTA","OK")</f>
        <v/>
      </c>
    </row>
    <row r="74">
      <c r="A74" s="2" t="n">
        <v>73</v>
      </c>
      <c r="B74" s="3" t="inlineStr">
        <is>
          <t>PROENERGIM-073</t>
        </is>
      </c>
      <c r="C74" s="2" t="inlineStr">
        <is>
          <t>QR INTERNO</t>
        </is>
      </c>
      <c r="D74" s="4" t="inlineStr">
        <is>
          <t>LAS MERCEDES</t>
        </is>
      </c>
      <c r="E74" s="4" t="inlineStr">
        <is>
          <t>FERRETERIA</t>
        </is>
      </c>
      <c r="F74" s="5" t="inlineStr">
        <is>
          <t>SOLDADORA</t>
        </is>
      </c>
      <c r="G74" s="4" t="inlineStr"/>
      <c r="H74" s="4" t="inlineStr"/>
      <c r="I74" s="2" t="inlineStr">
        <is>
          <t>UND</t>
        </is>
      </c>
      <c r="J74" s="2" t="n">
        <v>1</v>
      </c>
      <c r="K74" s="9" t="inlineStr"/>
      <c r="L74" s="6" t="n">
        <v/>
      </c>
      <c r="M74" s="6">
        <f>IF(OR(J74="",L74=""),"",ROUND(J74*L74,2))</f>
        <v/>
      </c>
      <c r="N74" s="7" t="n"/>
      <c r="O74" s="4" t="inlineStr">
        <is>
          <t>EXCEL ORIGINAL</t>
        </is>
      </c>
      <c r="P74" s="2">
        <f>IF(OR(K74="",L74=""),"FALTA","OK")</f>
        <v/>
      </c>
    </row>
    <row r="75">
      <c r="A75" s="8" t="n">
        <v>74</v>
      </c>
      <c r="B75" s="3" t="inlineStr">
        <is>
          <t>PROENERGIM-074</t>
        </is>
      </c>
      <c r="C75" s="2" t="inlineStr">
        <is>
          <t>QR INTERNO</t>
        </is>
      </c>
      <c r="D75" s="4" t="inlineStr">
        <is>
          <t>LAS MERCEDES</t>
        </is>
      </c>
      <c r="E75" s="4" t="inlineStr">
        <is>
          <t>FERRETERIA</t>
        </is>
      </c>
      <c r="F75" s="5" t="inlineStr">
        <is>
          <t>NIVEL DE MANO</t>
        </is>
      </c>
      <c r="G75" s="4" t="inlineStr"/>
      <c r="H75" s="4" t="inlineStr"/>
      <c r="I75" s="2" t="inlineStr">
        <is>
          <t>UND</t>
        </is>
      </c>
      <c r="J75" s="2" t="n">
        <v>1</v>
      </c>
      <c r="K75" s="9" t="inlineStr"/>
      <c r="L75" s="6" t="n">
        <v/>
      </c>
      <c r="M75" s="6">
        <f>IF(OR(J75="",L75=""),"",ROUND(J75*L75,2))</f>
        <v/>
      </c>
      <c r="N75" s="7" t="n"/>
      <c r="O75" s="4" t="inlineStr">
        <is>
          <t>EXCEL ORIGINAL</t>
        </is>
      </c>
      <c r="P75" s="2">
        <f>IF(OR(K75="",L75=""),"FALTA","OK")</f>
        <v/>
      </c>
    </row>
    <row r="76">
      <c r="A76" s="2" t="n">
        <v>75</v>
      </c>
      <c r="B76" s="3" t="inlineStr">
        <is>
          <t>PROENERGIM-075</t>
        </is>
      </c>
      <c r="C76" s="2" t="inlineStr">
        <is>
          <t>QR INTERNO</t>
        </is>
      </c>
      <c r="D76" s="4" t="inlineStr">
        <is>
          <t>LAS MERCEDES</t>
        </is>
      </c>
      <c r="E76" s="4" t="inlineStr">
        <is>
          <t>FERRETERIA</t>
        </is>
      </c>
      <c r="F76" s="5" t="inlineStr">
        <is>
          <t>ESCUADRAS</t>
        </is>
      </c>
      <c r="G76" s="4" t="inlineStr"/>
      <c r="H76" s="4" t="inlineStr"/>
      <c r="I76" s="2" t="inlineStr">
        <is>
          <t>UND</t>
        </is>
      </c>
      <c r="J76" s="2" t="n">
        <v>2</v>
      </c>
      <c r="K76" s="9" t="inlineStr"/>
      <c r="L76" s="6" t="n">
        <v/>
      </c>
      <c r="M76" s="6">
        <f>IF(OR(J76="",L76=""),"",ROUND(J76*L76,2))</f>
        <v/>
      </c>
      <c r="N76" s="7" t="n"/>
      <c r="O76" s="4" t="inlineStr">
        <is>
          <t>EXCEL ORIGINAL</t>
        </is>
      </c>
      <c r="P76" s="2">
        <f>IF(OR(K76="",L76=""),"FALTA","OK")</f>
        <v/>
      </c>
    </row>
    <row r="77">
      <c r="A77" s="2" t="n">
        <v>76</v>
      </c>
      <c r="B77" s="3" t="inlineStr">
        <is>
          <t>PROENERGIM-076</t>
        </is>
      </c>
      <c r="C77" s="2" t="inlineStr">
        <is>
          <t>QR INTERNO</t>
        </is>
      </c>
      <c r="D77" s="4" t="inlineStr">
        <is>
          <t>LAS MERCEDES</t>
        </is>
      </c>
      <c r="E77" s="4" t="inlineStr">
        <is>
          <t>FERRETERIA</t>
        </is>
      </c>
      <c r="F77" s="5" t="inlineStr">
        <is>
          <t>CABLE (POR METRO)</t>
        </is>
      </c>
      <c r="G77" s="4" t="inlineStr">
        <is>
          <t>-</t>
        </is>
      </c>
      <c r="H77" s="4" t="inlineStr">
        <is>
          <t>-</t>
        </is>
      </c>
      <c r="I77" s="2" t="inlineStr">
        <is>
          <t>METROS</t>
        </is>
      </c>
      <c r="J77" s="2" t="n">
        <v>250</v>
      </c>
      <c r="K77" s="9" t="inlineStr"/>
      <c r="L77" s="6" t="n">
        <v/>
      </c>
      <c r="M77" s="6">
        <f>IF(OR(J77="",L77=""),"",ROUND(J77*L77,2))</f>
        <v/>
      </c>
      <c r="N77" s="7" t="n"/>
      <c r="O77" s="4" t="inlineStr">
        <is>
          <t>EXCEL ORIGINAL</t>
        </is>
      </c>
      <c r="P77" s="2">
        <f>IF(OR(K77="",L77=""),"FALTA","OK")</f>
        <v/>
      </c>
    </row>
    <row r="78">
      <c r="A78" s="2" t="n">
        <v>77</v>
      </c>
      <c r="B78" s="3" t="inlineStr">
        <is>
          <t>PROENERGIM-077</t>
        </is>
      </c>
      <c r="C78" s="2" t="inlineStr">
        <is>
          <t>QR INTERNO</t>
        </is>
      </c>
      <c r="D78" s="4" t="inlineStr">
        <is>
          <t>LAS MERCEDES</t>
        </is>
      </c>
      <c r="E78" s="4" t="inlineStr">
        <is>
          <t>FERRETERIA</t>
        </is>
      </c>
      <c r="F78" s="5" t="inlineStr">
        <is>
          <t>PANELES</t>
        </is>
      </c>
      <c r="G78" s="4" t="inlineStr"/>
      <c r="H78" s="4" t="inlineStr"/>
      <c r="I78" s="2" t="inlineStr">
        <is>
          <t>UND</t>
        </is>
      </c>
      <c r="J78" s="2" t="n">
        <v>4</v>
      </c>
      <c r="K78" s="9" t="inlineStr"/>
      <c r="L78" s="6" t="n">
        <v/>
      </c>
      <c r="M78" s="6">
        <f>IF(OR(J78="",L78=""),"",ROUND(J78*L78,2))</f>
        <v/>
      </c>
      <c r="N78" s="7" t="n"/>
      <c r="O78" s="4" t="inlineStr">
        <is>
          <t>EXCEL ORIGINAL</t>
        </is>
      </c>
      <c r="P78" s="2">
        <f>IF(OR(K78="",L78=""),"FALTA","OK")</f>
        <v/>
      </c>
    </row>
    <row r="79">
      <c r="A79" s="8" t="n">
        <v>78</v>
      </c>
      <c r="B79" s="3" t="inlineStr">
        <is>
          <t>PROENERGIM-078</t>
        </is>
      </c>
      <c r="C79" s="2" t="inlineStr">
        <is>
          <t>QR INTERNO</t>
        </is>
      </c>
      <c r="D79" s="4" t="inlineStr">
        <is>
          <t>LAS MERCEDES</t>
        </is>
      </c>
      <c r="E79" s="4" t="inlineStr">
        <is>
          <t>FERRETERIA</t>
        </is>
      </c>
      <c r="F79" s="5" t="inlineStr">
        <is>
          <t>SOGA</t>
        </is>
      </c>
      <c r="G79" s="4" t="inlineStr"/>
      <c r="H79" s="4" t="inlineStr"/>
      <c r="I79" s="2" t="inlineStr">
        <is>
          <t>UND</t>
        </is>
      </c>
      <c r="J79" s="9" t="n">
        <v>0</v>
      </c>
      <c r="K79" s="9" t="inlineStr"/>
      <c r="L79" s="6" t="n">
        <v/>
      </c>
      <c r="M79" s="6">
        <f>IF(OR(J79="",L79=""),"",ROUND(J79*L79,2))</f>
        <v/>
      </c>
      <c r="N79" s="7" t="n"/>
      <c r="O79" s="4" t="inlineStr">
        <is>
          <t>EXCEL ORIGINAL</t>
        </is>
      </c>
      <c r="P79" s="2">
        <f>IF(OR(K79="",L79=""),"FALTA","OK")</f>
        <v/>
      </c>
    </row>
    <row r="80">
      <c r="A80" s="2" t="n">
        <v>79</v>
      </c>
      <c r="B80" s="3" t="inlineStr">
        <is>
          <t>PROENERGIM-079</t>
        </is>
      </c>
      <c r="C80" s="2" t="inlineStr">
        <is>
          <t>QR INTERNO</t>
        </is>
      </c>
      <c r="D80" s="4" t="inlineStr">
        <is>
          <t>LAS MERCEDES</t>
        </is>
      </c>
      <c r="E80" s="4" t="inlineStr">
        <is>
          <t>FERRETERIA</t>
        </is>
      </c>
      <c r="F80" s="5" t="inlineStr">
        <is>
          <t>LLAVES</t>
        </is>
      </c>
      <c r="G80" s="4" t="inlineStr"/>
      <c r="H80" s="4" t="inlineStr"/>
      <c r="I80" s="2" t="inlineStr">
        <is>
          <t>UND</t>
        </is>
      </c>
      <c r="J80" s="2" t="n">
        <v>11</v>
      </c>
      <c r="K80" s="9" t="inlineStr"/>
      <c r="L80" s="6" t="n">
        <v/>
      </c>
      <c r="M80" s="6">
        <f>IF(OR(J80="",L80=""),"",ROUND(J80*L80,2))</f>
        <v/>
      </c>
      <c r="N80" s="7" t="n"/>
      <c r="O80" s="4" t="inlineStr">
        <is>
          <t>EXCEL ORIGINAL</t>
        </is>
      </c>
      <c r="P80" s="2">
        <f>IF(OR(K80="",L80=""),"FALTA","OK")</f>
        <v/>
      </c>
    </row>
    <row r="81">
      <c r="A81" s="2" t="n">
        <v>80</v>
      </c>
      <c r="B81" s="3" t="inlineStr">
        <is>
          <t>PROENERGIM-080</t>
        </is>
      </c>
      <c r="C81" s="2" t="inlineStr">
        <is>
          <t>QR INTERNO</t>
        </is>
      </c>
      <c r="D81" s="4" t="inlineStr">
        <is>
          <t>LAS MERCEDES</t>
        </is>
      </c>
      <c r="E81" s="4" t="inlineStr">
        <is>
          <t>FERRETERIA</t>
        </is>
      </c>
      <c r="F81" s="5" t="inlineStr">
        <is>
          <t>VERNNIER</t>
        </is>
      </c>
      <c r="G81" s="4" t="inlineStr"/>
      <c r="H81" s="4" t="inlineStr"/>
      <c r="I81" s="2" t="inlineStr">
        <is>
          <t>UND</t>
        </is>
      </c>
      <c r="J81" s="2" t="n">
        <v>1</v>
      </c>
      <c r="K81" s="9" t="inlineStr"/>
      <c r="L81" s="6" t="n">
        <v/>
      </c>
      <c r="M81" s="6">
        <f>IF(OR(J81="",L81=""),"",ROUND(J81*L81,2))</f>
        <v/>
      </c>
      <c r="N81" s="7" t="n"/>
      <c r="O81" s="4" t="inlineStr">
        <is>
          <t>EXCEL ORIGINAL</t>
        </is>
      </c>
      <c r="P81" s="2">
        <f>IF(OR(K81="",L81=""),"FALTA","OK")</f>
        <v/>
      </c>
    </row>
    <row r="82">
      <c r="A82" s="2" t="n">
        <v>81</v>
      </c>
      <c r="B82" s="3" t="inlineStr">
        <is>
          <t>2024012410C</t>
        </is>
      </c>
      <c r="C82" s="2" t="inlineStr">
        <is>
          <t>FABRICA</t>
        </is>
      </c>
      <c r="D82" s="4" t="inlineStr">
        <is>
          <t>LAS MERCEDES</t>
        </is>
      </c>
      <c r="E82" s="4" t="inlineStr">
        <is>
          <t>FERRETERIA</t>
        </is>
      </c>
      <c r="F82" s="5" t="inlineStr">
        <is>
          <t>CONTROLADOR</t>
        </is>
      </c>
      <c r="G82" s="4" t="inlineStr">
        <is>
          <t>LDSOLAR</t>
        </is>
      </c>
      <c r="H82" s="4" t="inlineStr">
        <is>
          <t>SD2410C</t>
        </is>
      </c>
      <c r="I82" s="2" t="inlineStr">
        <is>
          <t>UND</t>
        </is>
      </c>
      <c r="J82" s="2" t="n">
        <v>1</v>
      </c>
      <c r="K82" s="9" t="inlineStr"/>
      <c r="L82" s="6" t="n">
        <v/>
      </c>
      <c r="M82" s="6">
        <f>IF(OR(J82="",L82=""),"",ROUND(J82*L82,2))</f>
        <v/>
      </c>
      <c r="N82" s="7" t="n"/>
      <c r="O82" s="4" t="inlineStr">
        <is>
          <t>EXCEL ORIGINAL</t>
        </is>
      </c>
      <c r="P82" s="2">
        <f>IF(OR(K82="",L82=""),"FALTA","OK")</f>
        <v/>
      </c>
    </row>
    <row r="83">
      <c r="A83" s="2" t="n">
        <v>82</v>
      </c>
      <c r="B83" s="3" t="inlineStr">
        <is>
          <t>PROENERGIM-082</t>
        </is>
      </c>
      <c r="C83" s="2" t="inlineStr">
        <is>
          <t>QR INTERNO</t>
        </is>
      </c>
      <c r="D83" s="4" t="inlineStr">
        <is>
          <t>LAS MERCEDES</t>
        </is>
      </c>
      <c r="E83" s="4" t="inlineStr">
        <is>
          <t>FERRETERIA</t>
        </is>
      </c>
      <c r="F83" s="5" t="inlineStr">
        <is>
          <t>SPD</t>
        </is>
      </c>
      <c r="G83" s="4" t="inlineStr">
        <is>
          <t>USFULL</t>
        </is>
      </c>
      <c r="H83" s="4" t="inlineStr">
        <is>
          <t>FLY1-40PV 3P</t>
        </is>
      </c>
      <c r="I83" s="2" t="inlineStr">
        <is>
          <t>UND</t>
        </is>
      </c>
      <c r="J83" s="2" t="n">
        <v>1</v>
      </c>
      <c r="K83" s="9" t="inlineStr"/>
      <c r="L83" s="6" t="n">
        <v/>
      </c>
      <c r="M83" s="6">
        <f>IF(OR(J83="",L83=""),"",ROUND(J83*L83,2))</f>
        <v/>
      </c>
      <c r="N83" s="7" t="n"/>
      <c r="O83" s="4" t="inlineStr">
        <is>
          <t>EXCEL ORIGINAL</t>
        </is>
      </c>
      <c r="P83" s="2">
        <f>IF(OR(K83="",L83=""),"FALTA","OK")</f>
        <v/>
      </c>
    </row>
    <row r="84">
      <c r="A84" s="2" t="n">
        <v>83</v>
      </c>
      <c r="B84" s="3" t="inlineStr">
        <is>
          <t>PROENERGIM-083</t>
        </is>
      </c>
      <c r="C84" s="2" t="inlineStr">
        <is>
          <t>QR INTERNO</t>
        </is>
      </c>
      <c r="D84" s="4" t="inlineStr">
        <is>
          <t>LAS MERCEDES</t>
        </is>
      </c>
      <c r="E84" s="4" t="inlineStr">
        <is>
          <t>FERRETERIA</t>
        </is>
      </c>
      <c r="F84" s="5" t="inlineStr">
        <is>
          <t>ANTENA</t>
        </is>
      </c>
      <c r="G84" s="4" t="inlineStr"/>
      <c r="H84" s="4" t="inlineStr"/>
      <c r="I84" s="2" t="inlineStr">
        <is>
          <t>UND</t>
        </is>
      </c>
      <c r="J84" s="2" t="n">
        <v>3</v>
      </c>
      <c r="K84" s="9" t="inlineStr"/>
      <c r="L84" s="6" t="n">
        <v/>
      </c>
      <c r="M84" s="6">
        <f>IF(OR(J84="",L84=""),"",ROUND(J84*L84,2))</f>
        <v/>
      </c>
      <c r="N84" s="7" t="n"/>
      <c r="O84" s="4" t="inlineStr">
        <is>
          <t>EXCEL ORIGINAL</t>
        </is>
      </c>
      <c r="P84" s="2">
        <f>IF(OR(K84="",L84=""),"FALTA","OK")</f>
        <v/>
      </c>
    </row>
    <row r="85">
      <c r="A85" s="2" t="n">
        <v>84</v>
      </c>
      <c r="B85" s="3" t="inlineStr">
        <is>
          <t>PROENERGIM-084</t>
        </is>
      </c>
      <c r="C85" s="2" t="inlineStr">
        <is>
          <t>QR INTERNO</t>
        </is>
      </c>
      <c r="D85" s="4" t="inlineStr">
        <is>
          <t>LAS MERCEDES</t>
        </is>
      </c>
      <c r="E85" s="4" t="inlineStr">
        <is>
          <t>FERRETERIA</t>
        </is>
      </c>
      <c r="F85" s="5" t="inlineStr">
        <is>
          <t>MODULOS</t>
        </is>
      </c>
      <c r="G85" s="4" t="inlineStr"/>
      <c r="H85" s="4" t="inlineStr"/>
      <c r="I85" s="2" t="inlineStr">
        <is>
          <t>UND</t>
        </is>
      </c>
      <c r="J85" s="2" t="n">
        <v>2</v>
      </c>
      <c r="K85" s="9" t="inlineStr"/>
      <c r="L85" s="6" t="n">
        <v/>
      </c>
      <c r="M85" s="6">
        <f>IF(OR(J85="",L85=""),"",ROUND(J85*L85,2))</f>
        <v/>
      </c>
      <c r="N85" s="7" t="n"/>
      <c r="O85" s="4" t="inlineStr">
        <is>
          <t>EXCEL ORIGINAL</t>
        </is>
      </c>
      <c r="P85" s="2">
        <f>IF(OR(K85="",L85=""),"FALTA","OK")</f>
        <v/>
      </c>
    </row>
    <row r="86">
      <c r="A86" s="2" t="n">
        <v>85</v>
      </c>
      <c r="B86" s="3" t="inlineStr">
        <is>
          <t>PROENERGIM-085</t>
        </is>
      </c>
      <c r="C86" s="2" t="inlineStr">
        <is>
          <t>QR INTERNO</t>
        </is>
      </c>
      <c r="D86" s="4" t="inlineStr">
        <is>
          <t>ALMACEN 2</t>
        </is>
      </c>
      <c r="E86" s="4" t="inlineStr">
        <is>
          <t>FERRETERIA</t>
        </is>
      </c>
      <c r="F86" s="5" t="inlineStr">
        <is>
          <t>TESTEADOR 1 (POR IDENTIFICAR)</t>
        </is>
      </c>
      <c r="G86" s="4" t="inlineStr"/>
      <c r="H86" s="4" t="inlineStr"/>
      <c r="I86" s="2" t="inlineStr">
        <is>
          <t>UND</t>
        </is>
      </c>
      <c r="J86" s="2" t="n">
        <v>1</v>
      </c>
      <c r="K86" s="9" t="inlineStr"/>
      <c r="L86" s="6" t="n">
        <v/>
      </c>
      <c r="M86" s="6">
        <f>IF(OR(J86="",L86=""),"",ROUND(J86*L86,2))</f>
        <v/>
      </c>
      <c r="N86" s="7" t="n"/>
      <c r="O86" s="4" t="inlineStr">
        <is>
          <t>EXCEL ORIGINAL</t>
        </is>
      </c>
      <c r="P86" s="2">
        <f>IF(OR(K86="",L86=""),"FALTA","OK")</f>
        <v/>
      </c>
    </row>
    <row r="87">
      <c r="A87" s="2" t="n">
        <v>86</v>
      </c>
      <c r="B87" s="3" t="inlineStr">
        <is>
          <t>6935750550298</t>
        </is>
      </c>
      <c r="C87" s="2" t="inlineStr">
        <is>
          <t>FABRICA</t>
        </is>
      </c>
      <c r="D87" s="4" t="inlineStr">
        <is>
          <t>ALMACEN 2</t>
        </is>
      </c>
      <c r="E87" s="4" t="inlineStr">
        <is>
          <t>FERRETERIA</t>
        </is>
      </c>
      <c r="F87" s="5" t="inlineStr">
        <is>
          <t>MEGAMETRO</t>
        </is>
      </c>
      <c r="G87" s="4" t="inlineStr">
        <is>
          <t>UNI-T (prob.)</t>
        </is>
      </c>
      <c r="H87" s="4" t="inlineStr">
        <is>
          <t>UT501E</t>
        </is>
      </c>
      <c r="I87" s="2" t="inlineStr">
        <is>
          <t>UND</t>
        </is>
      </c>
      <c r="J87" s="2" t="n">
        <v>1</v>
      </c>
      <c r="K87" s="9" t="inlineStr"/>
      <c r="L87" s="6" t="n">
        <v/>
      </c>
      <c r="M87" s="6">
        <f>IF(OR(J87="",L87=""),"",ROUND(J87*L87,2))</f>
        <v/>
      </c>
      <c r="N87" s="7" t="n"/>
      <c r="O87" s="4" t="inlineStr">
        <is>
          <t>EXCEL ORIGINAL</t>
        </is>
      </c>
      <c r="P87" s="2">
        <f>IF(OR(K87="",L87=""),"FALTA","OK")</f>
        <v/>
      </c>
    </row>
    <row r="88">
      <c r="A88" s="2" t="n">
        <v>87</v>
      </c>
      <c r="B88" s="3" t="inlineStr">
        <is>
          <t>PROENERGIM-087</t>
        </is>
      </c>
      <c r="C88" s="2" t="inlineStr">
        <is>
          <t>QR INTERNO</t>
        </is>
      </c>
      <c r="D88" s="4" t="inlineStr">
        <is>
          <t>ALMACEN 2</t>
        </is>
      </c>
      <c r="E88" s="4" t="inlineStr">
        <is>
          <t>FERRETERIA</t>
        </is>
      </c>
      <c r="F88" s="5" t="inlineStr">
        <is>
          <t>VARIADOR - ALMACEN 2</t>
        </is>
      </c>
      <c r="G88" s="4" t="inlineStr"/>
      <c r="H88" s="4" t="inlineStr"/>
      <c r="I88" s="2" t="inlineStr">
        <is>
          <t>UND</t>
        </is>
      </c>
      <c r="J88" s="2" t="n">
        <v>2</v>
      </c>
      <c r="K88" s="9" t="inlineStr"/>
      <c r="L88" s="6" t="n">
        <v/>
      </c>
      <c r="M88" s="6">
        <f>IF(OR(J88="",L88=""),"",ROUND(J88*L88,2))</f>
        <v/>
      </c>
      <c r="N88" s="7" t="n"/>
      <c r="O88" s="4" t="inlineStr">
        <is>
          <t>EXCEL ORIGINAL</t>
        </is>
      </c>
      <c r="P88" s="2">
        <f>IF(OR(K88="",L88=""),"FALTA","OK")</f>
        <v/>
      </c>
    </row>
    <row r="89">
      <c r="A89" s="2" t="n">
        <v>88</v>
      </c>
      <c r="B89" s="3" t="inlineStr">
        <is>
          <t>WA240909001262</t>
        </is>
      </c>
      <c r="C89" s="2" t="inlineStr">
        <is>
          <t>FABRICA</t>
        </is>
      </c>
      <c r="D89" s="4" t="inlineStr">
        <is>
          <t>ALMACEN 2</t>
        </is>
      </c>
      <c r="E89" s="4" t="inlineStr">
        <is>
          <t>FERRETERIA</t>
        </is>
      </c>
      <c r="F89" s="5" t="inlineStr">
        <is>
          <t>INVERSOR</t>
        </is>
      </c>
      <c r="G89" s="4" t="inlineStr">
        <is>
          <t>GOSPOWER</t>
        </is>
      </c>
      <c r="H89" s="4" t="inlineStr">
        <is>
          <t>GPEO-6KL1</t>
        </is>
      </c>
      <c r="I89" s="2" t="inlineStr">
        <is>
          <t>UND</t>
        </is>
      </c>
      <c r="J89" s="2" t="n">
        <v>1</v>
      </c>
      <c r="K89" s="9" t="inlineStr"/>
      <c r="L89" s="6" t="n">
        <v/>
      </c>
      <c r="M89" s="6">
        <f>IF(OR(J89="",L89=""),"",ROUND(J89*L89,2))</f>
        <v/>
      </c>
      <c r="N89" s="7" t="n"/>
      <c r="O89" s="4" t="inlineStr">
        <is>
          <t>EXCEL ORIGINAL</t>
        </is>
      </c>
      <c r="P89" s="2">
        <f>IF(OR(K89="",L89=""),"FALTA","OK")</f>
        <v/>
      </c>
    </row>
    <row r="90">
      <c r="A90" s="2" t="n">
        <v>89</v>
      </c>
      <c r="B90" s="3" t="inlineStr">
        <is>
          <t>616150301040082</t>
        </is>
      </c>
      <c r="C90" s="2" t="inlineStr">
        <is>
          <t>FABRICA</t>
        </is>
      </c>
      <c r="D90" s="4" t="inlineStr">
        <is>
          <t>ALMACEN 2</t>
        </is>
      </c>
      <c r="E90" s="4" t="inlineStr">
        <is>
          <t>FERRETERIA</t>
        </is>
      </c>
      <c r="F90" s="5" t="inlineStr">
        <is>
          <t>IMPULSOR</t>
        </is>
      </c>
      <c r="G90" s="4" t="inlineStr">
        <is>
          <t>Franklin Electric</t>
        </is>
      </c>
      <c r="H90" s="4" t="inlineStr">
        <is>
          <t>85SSI03F66-0343</t>
        </is>
      </c>
      <c r="I90" s="2" t="inlineStr">
        <is>
          <t>UND</t>
        </is>
      </c>
      <c r="J90" s="2" t="n">
        <v>1</v>
      </c>
      <c r="K90" s="9" t="inlineStr"/>
      <c r="L90" s="6" t="n">
        <v/>
      </c>
      <c r="M90" s="6">
        <f>IF(OR(J90="",L90=""),"",ROUND(J90*L90,2))</f>
        <v/>
      </c>
      <c r="N90" s="7" t="n"/>
      <c r="O90" s="4" t="inlineStr">
        <is>
          <t>EXCEL ORIGINAL</t>
        </is>
      </c>
      <c r="P90" s="2">
        <f>IF(OR(K90="",L90=""),"FALTA","OK")</f>
        <v/>
      </c>
    </row>
    <row r="91">
      <c r="A91" s="2" t="n">
        <v>90</v>
      </c>
      <c r="B91" s="3" t="inlineStr">
        <is>
          <t>EL03P2017503</t>
        </is>
      </c>
      <c r="C91" s="2" t="inlineStr">
        <is>
          <t>FABRICA</t>
        </is>
      </c>
      <c r="D91" s="4" t="inlineStr">
        <is>
          <t>ALMACEN 2</t>
        </is>
      </c>
      <c r="E91" s="4" t="inlineStr">
        <is>
          <t>FERRETERIA</t>
        </is>
      </c>
      <c r="F91" s="5" t="inlineStr">
        <is>
          <t>IMPULSOR</t>
        </is>
      </c>
      <c r="G91" s="4" t="inlineStr">
        <is>
          <t>PEDROLLO</t>
        </is>
      </c>
      <c r="H91" s="4" t="inlineStr">
        <is>
          <t>4SR75G/30</t>
        </is>
      </c>
      <c r="I91" s="2" t="inlineStr">
        <is>
          <t>UND</t>
        </is>
      </c>
      <c r="J91" s="2" t="n">
        <v>1</v>
      </c>
      <c r="K91" s="9" t="inlineStr"/>
      <c r="L91" s="6" t="n">
        <v/>
      </c>
      <c r="M91" s="6">
        <f>IF(OR(J91="",L91=""),"",ROUND(J91*L91,2))</f>
        <v/>
      </c>
      <c r="N91" s="7" t="n"/>
      <c r="O91" s="4" t="inlineStr">
        <is>
          <t>EXCEL ORIGINAL</t>
        </is>
      </c>
      <c r="P91" s="2">
        <f>IF(OR(K91="",L91=""),"FALTA","OK")</f>
        <v/>
      </c>
    </row>
    <row r="92">
      <c r="A92" s="2" t="n">
        <v>91</v>
      </c>
      <c r="B92" s="3" t="inlineStr">
        <is>
          <t>PROENERGIM-091</t>
        </is>
      </c>
      <c r="C92" s="2" t="inlineStr">
        <is>
          <t>QR INTERNO</t>
        </is>
      </c>
      <c r="D92" s="4" t="inlineStr">
        <is>
          <t>ALMACEN 2</t>
        </is>
      </c>
      <c r="E92" s="4" t="inlineStr">
        <is>
          <t>EQUIPO</t>
        </is>
      </c>
      <c r="F92" s="5" t="inlineStr">
        <is>
          <t>PANELES SOLARES</t>
        </is>
      </c>
      <c r="G92" s="4" t="inlineStr"/>
      <c r="H92" s="4" t="inlineStr"/>
      <c r="I92" s="2" t="inlineStr">
        <is>
          <t>UND</t>
        </is>
      </c>
      <c r="J92" s="2" t="n">
        <v>2</v>
      </c>
      <c r="K92" s="9" t="inlineStr"/>
      <c r="L92" s="6" t="n">
        <v/>
      </c>
      <c r="M92" s="6">
        <f>IF(OR(J92="",L92=""),"",ROUND(J92*L92,2))</f>
        <v/>
      </c>
      <c r="N92" s="7" t="n"/>
      <c r="O92" s="4" t="inlineStr">
        <is>
          <t>EXCEL ORIGINAL</t>
        </is>
      </c>
      <c r="P92" s="2">
        <f>IF(OR(K92="",L92=""),"FALTA","OK")</f>
        <v/>
      </c>
    </row>
    <row r="93">
      <c r="A93" s="2" t="n">
        <v>92</v>
      </c>
      <c r="B93" s="3" t="inlineStr">
        <is>
          <t>PROENERGIM-092</t>
        </is>
      </c>
      <c r="C93" s="2" t="inlineStr">
        <is>
          <t>QR INTERNO</t>
        </is>
      </c>
      <c r="D93" s="4" t="inlineStr">
        <is>
          <t>ALMACEN 2</t>
        </is>
      </c>
      <c r="E93" s="4" t="inlineStr">
        <is>
          <t>EQUIPO</t>
        </is>
      </c>
      <c r="F93" s="5" t="inlineStr">
        <is>
          <t>KIT SOLAR</t>
        </is>
      </c>
      <c r="G93" s="4" t="inlineStr"/>
      <c r="H93" s="4" t="inlineStr"/>
      <c r="I93" s="2" t="inlineStr">
        <is>
          <t>UND</t>
        </is>
      </c>
      <c r="J93" s="2" t="n">
        <v>3</v>
      </c>
      <c r="K93" s="9" t="inlineStr"/>
      <c r="L93" s="6" t="n">
        <v/>
      </c>
      <c r="M93" s="6">
        <f>IF(OR(J93="",L93=""),"",ROUND(J93*L93,2))</f>
        <v/>
      </c>
      <c r="N93" s="7" t="n"/>
      <c r="O93" s="4" t="inlineStr">
        <is>
          <t>EXCEL ORIGINAL</t>
        </is>
      </c>
      <c r="P93" s="2">
        <f>IF(OR(K93="",L93=""),"FALTA","OK")</f>
        <v/>
      </c>
    </row>
    <row r="94">
      <c r="A94" s="2" t="n">
        <v>93</v>
      </c>
      <c r="B94" s="3" t="inlineStr">
        <is>
          <t>6941545636351</t>
        </is>
      </c>
      <c r="C94" s="2" t="inlineStr">
        <is>
          <t>FABRICA</t>
        </is>
      </c>
      <c r="D94" s="4" t="inlineStr">
        <is>
          <t>ALMACEN 2</t>
        </is>
      </c>
      <c r="E94" s="4" t="inlineStr">
        <is>
          <t>EQUIPO</t>
        </is>
      </c>
      <c r="F94" s="5" t="inlineStr">
        <is>
          <t>CAMARA</t>
        </is>
      </c>
      <c r="G94" s="4" t="inlineStr">
        <is>
          <t>EZVIZ</t>
        </is>
      </c>
      <c r="H94" s="4" t="inlineStr">
        <is>
          <t>CS-H90 (EZH9044WKFL)</t>
        </is>
      </c>
      <c r="I94" s="2" t="inlineStr">
        <is>
          <t>UND</t>
        </is>
      </c>
      <c r="J94" s="2" t="n">
        <v>5</v>
      </c>
      <c r="K94" s="9" t="inlineStr"/>
      <c r="L94" s="6" t="n">
        <v/>
      </c>
      <c r="M94" s="6">
        <f>IF(OR(J94="",L94=""),"",ROUND(J94*L94,2))</f>
        <v/>
      </c>
      <c r="N94" s="7" t="n"/>
      <c r="O94" s="4" t="inlineStr">
        <is>
          <t>EXCEL ORIGINAL</t>
        </is>
      </c>
      <c r="P94" s="2">
        <f>IF(OR(K94="",L94=""),"FALTA","OK")</f>
        <v/>
      </c>
    </row>
    <row r="95">
      <c r="A95" s="2" t="n">
        <v>94</v>
      </c>
      <c r="B95" s="3" t="inlineStr">
        <is>
          <t>6941545620923</t>
        </is>
      </c>
      <c r="C95" s="2" t="inlineStr">
        <is>
          <t>FABRICA</t>
        </is>
      </c>
      <c r="D95" s="4" t="inlineStr">
        <is>
          <t>ALMACEN 2</t>
        </is>
      </c>
      <c r="E95" s="4" t="inlineStr">
        <is>
          <t>EQUIPO</t>
        </is>
      </c>
      <c r="F95" s="5" t="inlineStr">
        <is>
          <t>CAMARA</t>
        </is>
      </c>
      <c r="G95" s="4" t="inlineStr">
        <is>
          <t>EZVIZ</t>
        </is>
      </c>
      <c r="H95" s="4" t="inlineStr">
        <is>
          <t>CS-EB8/SP (EZEB8SP3)</t>
        </is>
      </c>
      <c r="I95" s="2" t="inlineStr">
        <is>
          <t>UND</t>
        </is>
      </c>
      <c r="J95" s="2" t="n">
        <v>5</v>
      </c>
      <c r="K95" s="9" t="inlineStr"/>
      <c r="L95" s="6" t="n">
        <v/>
      </c>
      <c r="M95" s="6">
        <f>IF(OR(J95="",L95=""),"",ROUND(J95*L95,2))</f>
        <v/>
      </c>
      <c r="N95" s="7" t="n"/>
      <c r="O95" s="4" t="inlineStr">
        <is>
          <t>EXCEL ORIGINAL</t>
        </is>
      </c>
      <c r="P95" s="2">
        <f>IF(OR(K95="",L95=""),"FALTA","OK")</f>
        <v/>
      </c>
    </row>
    <row r="96">
      <c r="A96" s="2" t="n">
        <v>95</v>
      </c>
      <c r="B96" s="3" t="inlineStr">
        <is>
          <t>3323-300</t>
        </is>
      </c>
      <c r="C96" s="2" t="inlineStr">
        <is>
          <t>FABRICA</t>
        </is>
      </c>
      <c r="D96" s="4" t="inlineStr">
        <is>
          <t>ALMACEN 2</t>
        </is>
      </c>
      <c r="E96" s="4" t="inlineStr">
        <is>
          <t>FERRETERIA</t>
        </is>
      </c>
      <c r="F96" s="5" t="inlineStr">
        <is>
          <t>REGILLAS</t>
        </is>
      </c>
      <c r="G96" s="4" t="inlineStr">
        <is>
          <t>WKDQ (Wonke Electric)</t>
        </is>
      </c>
      <c r="H96" s="4" t="inlineStr">
        <is>
          <t>Filtro 3323-300</t>
        </is>
      </c>
      <c r="I96" s="2" t="inlineStr">
        <is>
          <t>UND</t>
        </is>
      </c>
      <c r="J96" s="2" t="n">
        <v>4</v>
      </c>
      <c r="K96" s="9" t="inlineStr"/>
      <c r="L96" s="6" t="n">
        <v/>
      </c>
      <c r="M96" s="6">
        <f>IF(OR(J96="",L96=""),"",ROUND(J96*L96,2))</f>
        <v/>
      </c>
      <c r="N96" s="7" t="n"/>
      <c r="O96" s="4" t="inlineStr">
        <is>
          <t>EXCEL ORIGINAL</t>
        </is>
      </c>
      <c r="P96" s="2">
        <f>IF(OR(K96="",L96=""),"FALTA","OK")</f>
        <v/>
      </c>
    </row>
    <row r="97">
      <c r="A97" s="2" t="n">
        <v>96</v>
      </c>
      <c r="B97" s="3" t="inlineStr">
        <is>
          <t>PROENERGIM-096</t>
        </is>
      </c>
      <c r="C97" s="2" t="inlineStr">
        <is>
          <t>QR INTERNO</t>
        </is>
      </c>
      <c r="D97" s="4" t="inlineStr">
        <is>
          <t>ALMACEN 2</t>
        </is>
      </c>
      <c r="E97" s="4" t="inlineStr">
        <is>
          <t>EQUIPO</t>
        </is>
      </c>
      <c r="F97" s="5" t="inlineStr">
        <is>
          <t>PANEL</t>
        </is>
      </c>
      <c r="G97" s="4" t="inlineStr"/>
      <c r="H97" s="4" t="inlineStr"/>
      <c r="I97" s="2" t="inlineStr">
        <is>
          <t>UND</t>
        </is>
      </c>
      <c r="J97" s="2" t="n">
        <v>1</v>
      </c>
      <c r="K97" s="9" t="inlineStr"/>
      <c r="L97" s="6" t="n">
        <v/>
      </c>
      <c r="M97" s="6">
        <f>IF(OR(J97="",L97=""),"",ROUND(J97*L97,2))</f>
        <v/>
      </c>
      <c r="N97" s="7" t="n"/>
      <c r="O97" s="4" t="inlineStr">
        <is>
          <t>EXCEL ORIGINAL</t>
        </is>
      </c>
      <c r="P97" s="2">
        <f>IF(OR(K97="",L97=""),"FALTA","OK")</f>
        <v/>
      </c>
    </row>
    <row r="98">
      <c r="A98" s="2" t="n">
        <v>97</v>
      </c>
      <c r="B98" s="3" t="inlineStr">
        <is>
          <t>PROENERGIM-097</t>
        </is>
      </c>
      <c r="C98" s="2" t="inlineStr">
        <is>
          <t>QR INTERNO</t>
        </is>
      </c>
      <c r="D98" s="4" t="inlineStr">
        <is>
          <t>ALMACEN 2</t>
        </is>
      </c>
      <c r="E98" s="4" t="inlineStr">
        <is>
          <t>FERRETERIA</t>
        </is>
      </c>
      <c r="F98" s="5" t="inlineStr">
        <is>
          <t>MULTIMETRO DIGITAL TRUPER MUT-50A</t>
        </is>
      </c>
      <c r="G98" s="4" t="inlineStr"/>
      <c r="H98" s="4" t="inlineStr"/>
      <c r="I98" s="2" t="inlineStr">
        <is>
          <t>UND</t>
        </is>
      </c>
      <c r="J98" s="2" t="n">
        <v>2</v>
      </c>
      <c r="K98" s="9" t="inlineStr"/>
      <c r="L98" s="6" t="n">
        <v/>
      </c>
      <c r="M98" s="6">
        <f>IF(OR(J98="",L98=""),"",ROUND(J98*L98,2))</f>
        <v/>
      </c>
      <c r="N98" s="7" t="n"/>
      <c r="O98" s="4" t="inlineStr">
        <is>
          <t>EXCEL ORIGINAL</t>
        </is>
      </c>
      <c r="P98" s="2">
        <f>IF(OR(K98="",L98=""),"FALTA","OK")</f>
        <v/>
      </c>
    </row>
    <row r="99">
      <c r="A99" s="2" t="n">
        <v>98</v>
      </c>
      <c r="B99" s="3" t="inlineStr">
        <is>
          <t>PROENERGIM-098</t>
        </is>
      </c>
      <c r="C99" s="2" t="inlineStr">
        <is>
          <t>QR INTERNO</t>
        </is>
      </c>
      <c r="D99" s="4" t="inlineStr">
        <is>
          <t>ALMACEN 2</t>
        </is>
      </c>
      <c r="E99" s="4" t="inlineStr">
        <is>
          <t>FERRETERIA</t>
        </is>
      </c>
      <c r="F99" s="5" t="inlineStr">
        <is>
          <t>CENSORES</t>
        </is>
      </c>
      <c r="G99" s="4" t="inlineStr"/>
      <c r="H99" s="4" t="inlineStr"/>
      <c r="I99" s="2" t="inlineStr">
        <is>
          <t>UND</t>
        </is>
      </c>
      <c r="J99" s="2" t="n">
        <v>10</v>
      </c>
      <c r="K99" s="9" t="inlineStr"/>
      <c r="L99" s="6" t="n">
        <v/>
      </c>
      <c r="M99" s="6">
        <f>IF(OR(J99="",L99=""),"",ROUND(J99*L99,2))</f>
        <v/>
      </c>
      <c r="N99" s="7" t="n"/>
      <c r="O99" s="4" t="inlineStr">
        <is>
          <t>EXCEL ORIGINAL</t>
        </is>
      </c>
      <c r="P99" s="2">
        <f>IF(OR(K99="",L99=""),"FALTA","OK")</f>
        <v/>
      </c>
    </row>
    <row r="100">
      <c r="A100" s="2" t="n">
        <v>99</v>
      </c>
      <c r="B100" s="3" t="inlineStr">
        <is>
          <t>PROENERGIM-099</t>
        </is>
      </c>
      <c r="C100" s="2" t="inlineStr">
        <is>
          <t>QR INTERNO</t>
        </is>
      </c>
      <c r="D100" s="4" t="inlineStr">
        <is>
          <t>ALMACEN 2</t>
        </is>
      </c>
      <c r="E100" s="4" t="inlineStr">
        <is>
          <t>FERRETERIA</t>
        </is>
      </c>
      <c r="F100" s="5" t="inlineStr">
        <is>
          <t>VENTILADOR - ALMACEN 2</t>
        </is>
      </c>
      <c r="G100" s="4" t="inlineStr"/>
      <c r="H100" s="4" t="inlineStr"/>
      <c r="I100" s="2" t="inlineStr">
        <is>
          <t>UND</t>
        </is>
      </c>
      <c r="J100" s="2" t="n">
        <v>1</v>
      </c>
      <c r="K100" s="9" t="inlineStr"/>
      <c r="L100" s="6" t="n">
        <v/>
      </c>
      <c r="M100" s="6">
        <f>IF(OR(J100="",L100=""),"",ROUND(J100*L100,2))</f>
        <v/>
      </c>
      <c r="N100" s="7" t="n"/>
      <c r="O100" s="4" t="inlineStr">
        <is>
          <t>EXCEL ORIGINAL</t>
        </is>
      </c>
      <c r="P100" s="2">
        <f>IF(OR(K100="",L100=""),"FALTA","OK")</f>
        <v/>
      </c>
    </row>
    <row r="101">
      <c r="A101" s="2" t="n">
        <v>100</v>
      </c>
      <c r="B101" s="3" t="inlineStr">
        <is>
          <t>PROENERGIM-100</t>
        </is>
      </c>
      <c r="C101" s="2" t="inlineStr">
        <is>
          <t>QR INTERNO</t>
        </is>
      </c>
      <c r="D101" s="4" t="inlineStr">
        <is>
          <t>ALMACEN 2</t>
        </is>
      </c>
      <c r="E101" s="4" t="inlineStr">
        <is>
          <t>FERRETERIA</t>
        </is>
      </c>
      <c r="F101" s="5" t="inlineStr">
        <is>
          <t>PINZAS</t>
        </is>
      </c>
      <c r="G101" s="4" t="inlineStr"/>
      <c r="H101" s="4" t="inlineStr"/>
      <c r="I101" s="2" t="inlineStr">
        <is>
          <t>UND</t>
        </is>
      </c>
      <c r="J101" s="2" t="n">
        <v>2</v>
      </c>
      <c r="K101" s="9" t="inlineStr"/>
      <c r="L101" s="6" t="n">
        <v/>
      </c>
      <c r="M101" s="6">
        <f>IF(OR(J101="",L101=""),"",ROUND(J101*L101,2))</f>
        <v/>
      </c>
      <c r="N101" s="7" t="n"/>
      <c r="O101" s="4" t="inlineStr">
        <is>
          <t>EXCEL ORIGINAL</t>
        </is>
      </c>
      <c r="P101" s="2">
        <f>IF(OR(K101="",L101=""),"FALTA","OK")</f>
        <v/>
      </c>
    </row>
    <row r="102">
      <c r="A102" s="2" t="n">
        <v>101</v>
      </c>
      <c r="B102" s="3" t="inlineStr">
        <is>
          <t>PROENERGIM-101</t>
        </is>
      </c>
      <c r="C102" s="2" t="inlineStr">
        <is>
          <t>QR INTERNO</t>
        </is>
      </c>
      <c r="D102" s="4" t="inlineStr">
        <is>
          <t>ALMACEN 2</t>
        </is>
      </c>
      <c r="E102" s="4" t="inlineStr">
        <is>
          <t>FERRETERIA</t>
        </is>
      </c>
      <c r="F102" s="5" t="inlineStr">
        <is>
          <t>REFLECTOR</t>
        </is>
      </c>
      <c r="G102" s="4" t="inlineStr"/>
      <c r="H102" s="4" t="inlineStr"/>
      <c r="I102" s="2" t="inlineStr">
        <is>
          <t>UND</t>
        </is>
      </c>
      <c r="J102" s="2" t="n">
        <v>2</v>
      </c>
      <c r="K102" s="9" t="inlineStr"/>
      <c r="L102" s="6" t="n">
        <v/>
      </c>
      <c r="M102" s="6">
        <f>IF(OR(J102="",L102=""),"",ROUND(J102*L102,2))</f>
        <v/>
      </c>
      <c r="N102" s="7" t="n"/>
      <c r="O102" s="4" t="inlineStr">
        <is>
          <t>EXCEL ORIGINAL</t>
        </is>
      </c>
      <c r="P102" s="2">
        <f>IF(OR(K102="",L102=""),"FALTA","OK")</f>
        <v/>
      </c>
    </row>
    <row r="103">
      <c r="A103" s="2" t="n">
        <v>102</v>
      </c>
      <c r="B103" s="3" t="inlineStr">
        <is>
          <t>PROENERGIM-102</t>
        </is>
      </c>
      <c r="C103" s="2" t="inlineStr">
        <is>
          <t>QR INTERNO</t>
        </is>
      </c>
      <c r="D103" s="4" t="inlineStr">
        <is>
          <t>ALMACEN 2</t>
        </is>
      </c>
      <c r="E103" s="4" t="inlineStr">
        <is>
          <t>FERRETERIA</t>
        </is>
      </c>
      <c r="F103" s="5" t="inlineStr">
        <is>
          <t>RELET TERMICA</t>
        </is>
      </c>
      <c r="G103" s="4" t="inlineStr"/>
      <c r="H103" s="4" t="inlineStr"/>
      <c r="I103" s="2" t="inlineStr">
        <is>
          <t>UND</t>
        </is>
      </c>
      <c r="J103" s="2" t="n">
        <v>1</v>
      </c>
      <c r="K103" s="9" t="inlineStr"/>
      <c r="L103" s="6" t="n">
        <v/>
      </c>
      <c r="M103" s="6">
        <f>IF(OR(J103="",L103=""),"",ROUND(J103*L103,2))</f>
        <v/>
      </c>
      <c r="N103" s="7" t="n"/>
      <c r="O103" s="4" t="inlineStr">
        <is>
          <t>EXCEL ORIGINAL</t>
        </is>
      </c>
      <c r="P103" s="2">
        <f>IF(OR(K103="",L103=""),"FALTA","OK")</f>
        <v/>
      </c>
    </row>
    <row r="104">
      <c r="A104" s="2" t="n">
        <v>103</v>
      </c>
      <c r="B104" s="3" t="inlineStr">
        <is>
          <t>PROENERGIM-103</t>
        </is>
      </c>
      <c r="C104" s="2" t="inlineStr">
        <is>
          <t>QR INTERNO</t>
        </is>
      </c>
      <c r="D104" s="4" t="inlineStr">
        <is>
          <t>ALMACEN 2</t>
        </is>
      </c>
      <c r="E104" s="4" t="inlineStr">
        <is>
          <t>FERRETERIA</t>
        </is>
      </c>
      <c r="F104" s="5" t="inlineStr">
        <is>
          <t>CONECTORES</t>
        </is>
      </c>
      <c r="G104" s="4" t="inlineStr"/>
      <c r="H104" s="4" t="inlineStr"/>
      <c r="I104" s="2" t="inlineStr">
        <is>
          <t>UND</t>
        </is>
      </c>
      <c r="J104" s="2" t="n">
        <v>466</v>
      </c>
      <c r="K104" s="9" t="inlineStr"/>
      <c r="L104" s="6" t="n">
        <v/>
      </c>
      <c r="M104" s="6">
        <f>IF(OR(J104="",L104=""),"",ROUND(J104*L104,2))</f>
        <v/>
      </c>
      <c r="N104" s="7" t="n"/>
      <c r="O104" s="4" t="inlineStr">
        <is>
          <t>EXCEL ORIGINAL</t>
        </is>
      </c>
      <c r="P104" s="2">
        <f>IF(OR(K104="",L104=""),"FALTA","OK")</f>
        <v/>
      </c>
    </row>
    <row r="105">
      <c r="A105" s="2" t="n">
        <v>104</v>
      </c>
      <c r="B105" s="3" t="inlineStr">
        <is>
          <t>PROENERGIM-104</t>
        </is>
      </c>
      <c r="C105" s="2" t="inlineStr">
        <is>
          <t>QR INTERNO</t>
        </is>
      </c>
      <c r="D105" s="4" t="inlineStr">
        <is>
          <t>ALMACEN 2</t>
        </is>
      </c>
      <c r="E105" s="4" t="inlineStr">
        <is>
          <t>FERRETERIA</t>
        </is>
      </c>
      <c r="F105" s="5" t="inlineStr">
        <is>
          <t>MOTOR</t>
        </is>
      </c>
      <c r="G105" s="4" t="inlineStr"/>
      <c r="H105" s="4" t="inlineStr"/>
      <c r="I105" s="2" t="inlineStr">
        <is>
          <t>UND</t>
        </is>
      </c>
      <c r="J105" s="2" t="n">
        <v>1</v>
      </c>
      <c r="K105" s="9" t="inlineStr"/>
      <c r="L105" s="6" t="n">
        <v/>
      </c>
      <c r="M105" s="6">
        <f>IF(OR(J105="",L105=""),"",ROUND(J105*L105,2))</f>
        <v/>
      </c>
      <c r="N105" s="7" t="n"/>
      <c r="O105" s="4" t="inlineStr">
        <is>
          <t>EXCEL ORIGINAL</t>
        </is>
      </c>
      <c r="P105" s="2">
        <f>IF(OR(K105="",L105=""),"FALTA","OK")</f>
        <v/>
      </c>
    </row>
    <row r="106">
      <c r="A106" s="2" t="n">
        <v>105</v>
      </c>
      <c r="B106" s="3" t="inlineStr">
        <is>
          <t>PROENERGIM-105</t>
        </is>
      </c>
      <c r="C106" s="2" t="inlineStr">
        <is>
          <t>QR INTERNO</t>
        </is>
      </c>
      <c r="D106" s="4" t="inlineStr">
        <is>
          <t>ALMACEN 2</t>
        </is>
      </c>
      <c r="E106" s="4" t="inlineStr">
        <is>
          <t>FERRETERIA</t>
        </is>
      </c>
      <c r="F106" s="5" t="inlineStr">
        <is>
          <t>TELUROMETRO</t>
        </is>
      </c>
      <c r="G106" s="4" t="inlineStr"/>
      <c r="H106" s="4" t="inlineStr"/>
      <c r="I106" s="2" t="inlineStr">
        <is>
          <t>UND</t>
        </is>
      </c>
      <c r="J106" s="2" t="n">
        <v>1</v>
      </c>
      <c r="K106" s="9" t="inlineStr"/>
      <c r="L106" s="6" t="n">
        <v/>
      </c>
      <c r="M106" s="6">
        <f>IF(OR(J106="",L106=""),"",ROUND(J106*L106,2))</f>
        <v/>
      </c>
      <c r="N106" s="7" t="n"/>
      <c r="O106" s="4" t="inlineStr">
        <is>
          <t>EXCEL ORIGINAL</t>
        </is>
      </c>
      <c r="P106" s="2">
        <f>IF(OR(K106="",L106=""),"FALTA","OK")</f>
        <v/>
      </c>
    </row>
    <row r="107">
      <c r="A107" s="2" t="n">
        <v>106</v>
      </c>
      <c r="B107" s="3" t="inlineStr">
        <is>
          <t>PROENERGIM-106</t>
        </is>
      </c>
      <c r="C107" s="2" t="inlineStr">
        <is>
          <t>QR INTERNO</t>
        </is>
      </c>
      <c r="D107" s="4" t="inlineStr">
        <is>
          <t>ALMACEN 2</t>
        </is>
      </c>
      <c r="E107" s="4" t="inlineStr">
        <is>
          <t>FERRETERIA</t>
        </is>
      </c>
      <c r="F107" s="5" t="inlineStr">
        <is>
          <t>INERSOR MUST</t>
        </is>
      </c>
      <c r="G107" s="4" t="inlineStr"/>
      <c r="H107" s="4" t="inlineStr"/>
      <c r="I107" s="2" t="inlineStr">
        <is>
          <t>UND</t>
        </is>
      </c>
      <c r="J107" s="2" t="n">
        <v>1</v>
      </c>
      <c r="K107" s="9" t="inlineStr"/>
      <c r="L107" s="6" t="n">
        <v/>
      </c>
      <c r="M107" s="6">
        <f>IF(OR(J107="",L107=""),"",ROUND(J107*L107,2))</f>
        <v/>
      </c>
      <c r="N107" s="7" t="n"/>
      <c r="O107" s="4" t="inlineStr">
        <is>
          <t>EXCEL ORIGINAL</t>
        </is>
      </c>
      <c r="P107" s="2">
        <f>IF(OR(K107="",L107=""),"FALTA","OK")</f>
        <v/>
      </c>
    </row>
    <row r="108">
      <c r="A108" s="2" t="n">
        <v>107</v>
      </c>
      <c r="B108" s="3" t="inlineStr">
        <is>
          <t>0502900664</t>
        </is>
      </c>
      <c r="C108" s="2" t="inlineStr">
        <is>
          <t>FABRICA</t>
        </is>
      </c>
      <c r="D108" s="4" t="inlineStr">
        <is>
          <t>ALMACEN 2</t>
        </is>
      </c>
      <c r="E108" s="4" t="inlineStr">
        <is>
          <t>EQUIPO</t>
        </is>
      </c>
      <c r="F108" s="5" t="inlineStr">
        <is>
          <t>REFLECTOR SOLAR</t>
        </is>
      </c>
      <c r="G108" s="4" t="inlineStr">
        <is>
          <t>DIXO Lighting</t>
        </is>
      </c>
      <c r="H108" s="4" t="inlineStr">
        <is>
          <t>REFSOL-500W</t>
        </is>
      </c>
      <c r="I108" s="2" t="inlineStr">
        <is>
          <t>UND</t>
        </is>
      </c>
      <c r="J108" s="2" t="n">
        <v>2</v>
      </c>
      <c r="K108" s="9" t="inlineStr"/>
      <c r="L108" s="6" t="n">
        <v/>
      </c>
      <c r="M108" s="6">
        <f>IF(OR(J108="",L108=""),"",ROUND(J108*L108,2))</f>
        <v/>
      </c>
      <c r="N108" s="7" t="n"/>
      <c r="O108" s="4" t="inlineStr">
        <is>
          <t>EXCEL ORIGINAL</t>
        </is>
      </c>
      <c r="P108" s="2">
        <f>IF(OR(K108="",L108=""),"FALTA","OK")</f>
        <v/>
      </c>
    </row>
    <row r="109">
      <c r="A109" s="2" t="n">
        <v>108</v>
      </c>
      <c r="B109" s="3" t="inlineStr">
        <is>
          <t>PROENERGIM-108</t>
        </is>
      </c>
      <c r="C109" s="2" t="inlineStr">
        <is>
          <t>QR INTERNO</t>
        </is>
      </c>
      <c r="D109" s="4" t="inlineStr">
        <is>
          <t>ALMACEN 2</t>
        </is>
      </c>
      <c r="E109" s="4" t="inlineStr">
        <is>
          <t>EQUIPO</t>
        </is>
      </c>
      <c r="F109" s="5" t="inlineStr">
        <is>
          <t>REFLECTOR SOLAR</t>
        </is>
      </c>
      <c r="G109" s="4" t="inlineStr">
        <is>
          <t>-</t>
        </is>
      </c>
      <c r="H109" s="4" t="inlineStr">
        <is>
          <t>Reflector solar 600W tri-color</t>
        </is>
      </c>
      <c r="I109" s="2" t="inlineStr">
        <is>
          <t>UND</t>
        </is>
      </c>
      <c r="J109" s="2" t="n">
        <v>3</v>
      </c>
      <c r="K109" s="9" t="inlineStr"/>
      <c r="L109" s="6" t="n">
        <v/>
      </c>
      <c r="M109" s="6">
        <f>IF(OR(J109="",L109=""),"",ROUND(J109*L109,2))</f>
        <v/>
      </c>
      <c r="N109" s="7" t="n"/>
      <c r="O109" s="4" t="inlineStr">
        <is>
          <t>EXCEL ORIGINAL</t>
        </is>
      </c>
      <c r="P109" s="2">
        <f>IF(OR(K109="",L109=""),"FALTA","OK")</f>
        <v/>
      </c>
    </row>
    <row r="110">
      <c r="A110" s="2" t="n">
        <v>109</v>
      </c>
      <c r="B110" s="3" t="inlineStr">
        <is>
          <t>PROENERGIM-109</t>
        </is>
      </c>
      <c r="C110" s="2" t="inlineStr">
        <is>
          <t>QR INTERNO</t>
        </is>
      </c>
      <c r="D110" s="4" t="inlineStr">
        <is>
          <t>ALMACEN 2</t>
        </is>
      </c>
      <c r="E110" s="4" t="inlineStr">
        <is>
          <t>FERRETERIA</t>
        </is>
      </c>
      <c r="F110" s="5" t="inlineStr">
        <is>
          <t>COMPRESORA - ALMACEN 2</t>
        </is>
      </c>
      <c r="G110" s="4" t="inlineStr"/>
      <c r="H110" s="4" t="inlineStr"/>
      <c r="I110" s="2" t="inlineStr">
        <is>
          <t>UND</t>
        </is>
      </c>
      <c r="J110" s="2" t="n">
        <v>1</v>
      </c>
      <c r="K110" s="9" t="inlineStr"/>
      <c r="L110" s="6" t="n">
        <v/>
      </c>
      <c r="M110" s="6">
        <f>IF(OR(J110="",L110=""),"",ROUND(J110*L110,2))</f>
        <v/>
      </c>
      <c r="N110" s="7" t="n"/>
      <c r="O110" s="4" t="inlineStr">
        <is>
          <t>EXCEL ORIGINAL</t>
        </is>
      </c>
      <c r="P110" s="2">
        <f>IF(OR(K110="",L110=""),"FALTA","OK")</f>
        <v/>
      </c>
    </row>
    <row r="111">
      <c r="A111" s="2" t="n">
        <v>110</v>
      </c>
      <c r="B111" s="3" t="inlineStr">
        <is>
          <t>PROENERGIM-110</t>
        </is>
      </c>
      <c r="C111" s="2" t="inlineStr">
        <is>
          <t>QR INTERNO</t>
        </is>
      </c>
      <c r="D111" s="4" t="inlineStr">
        <is>
          <t>LAS MERCEDES</t>
        </is>
      </c>
      <c r="E111" s="4" t="inlineStr">
        <is>
          <t>EPP</t>
        </is>
      </c>
      <c r="F111" s="5" t="inlineStr">
        <is>
          <t>ARNES DE SEGURIDAD LINEA DE VIDA</t>
        </is>
      </c>
      <c r="G111" s="4" t="inlineStr">
        <is>
          <t>SEGPRO</t>
        </is>
      </c>
      <c r="H111" s="4" t="inlineStr">
        <is>
          <t>LV2GE-AMNE</t>
        </is>
      </c>
      <c r="I111" s="2" t="inlineStr">
        <is>
          <t>UND</t>
        </is>
      </c>
      <c r="J111" s="2" t="n">
        <v>1</v>
      </c>
      <c r="K111" s="2" t="inlineStr">
        <is>
          <t>SOLES</t>
        </is>
      </c>
      <c r="L111" s="6" t="n">
        <v>115</v>
      </c>
      <c r="M111" s="6">
        <f>IF(OR(J111="",L111=""),"",ROUND(J111*L111,2))</f>
        <v/>
      </c>
      <c r="N111" s="7" t="n">
        <v>46122</v>
      </c>
      <c r="O111" s="4" t="inlineStr">
        <is>
          <t>EXCEL ORIGINAL</t>
        </is>
      </c>
      <c r="P111" s="2">
        <f>IF(OR(K111="",L111=""),"FALTA","OK")</f>
        <v/>
      </c>
    </row>
    <row r="112">
      <c r="A112" s="2" t="n">
        <v>111</v>
      </c>
      <c r="B112" s="3" t="inlineStr">
        <is>
          <t>PROENERGIM-111</t>
        </is>
      </c>
      <c r="C112" s="2" t="inlineStr">
        <is>
          <t>QR INTERNO</t>
        </is>
      </c>
      <c r="D112" s="4" t="inlineStr">
        <is>
          <t>LAS MERCEDES</t>
        </is>
      </c>
      <c r="E112" s="4" t="inlineStr">
        <is>
          <t>EPP</t>
        </is>
      </c>
      <c r="F112" s="5" t="inlineStr">
        <is>
          <t>PROTECTORES FACIALES</t>
        </is>
      </c>
      <c r="G112" s="4" t="inlineStr"/>
      <c r="H112" s="4" t="inlineStr"/>
      <c r="I112" s="2" t="inlineStr">
        <is>
          <t>UND</t>
        </is>
      </c>
      <c r="J112" s="2" t="n">
        <v>6</v>
      </c>
      <c r="K112" s="2" t="inlineStr">
        <is>
          <t>SOLES</t>
        </is>
      </c>
      <c r="L112" s="6" t="n">
        <v>12</v>
      </c>
      <c r="M112" s="6">
        <f>IF(OR(J112="",L112=""),"",ROUND(J112*L112,2))</f>
        <v/>
      </c>
      <c r="N112" s="7" t="n">
        <v>46122</v>
      </c>
      <c r="O112" s="4" t="inlineStr">
        <is>
          <t>EXCEL ORIGINAL</t>
        </is>
      </c>
      <c r="P112" s="2">
        <f>IF(OR(K112="",L112=""),"FALTA","OK")</f>
        <v/>
      </c>
    </row>
    <row r="113">
      <c r="A113" s="2" t="n">
        <v>112</v>
      </c>
      <c r="B113" s="3" t="inlineStr">
        <is>
          <t>7790652000482</t>
        </is>
      </c>
      <c r="C113" s="2" t="inlineStr">
        <is>
          <t>FABRICA</t>
        </is>
      </c>
      <c r="D113" s="4" t="inlineStr">
        <is>
          <t>LAS MERCEDES</t>
        </is>
      </c>
      <c r="E113" s="4" t="inlineStr">
        <is>
          <t>EPP</t>
        </is>
      </c>
      <c r="F113" s="5" t="inlineStr">
        <is>
          <t>LENTES OSCUROS</t>
        </is>
      </c>
      <c r="G113" s="4" t="inlineStr">
        <is>
          <t>LIBUS (ECO LINE)</t>
        </is>
      </c>
      <c r="H113" s="4" t="inlineStr">
        <is>
          <t>Anteojo Eco Line Gris AF</t>
        </is>
      </c>
      <c r="I113" s="2" t="inlineStr">
        <is>
          <t>UND</t>
        </is>
      </c>
      <c r="J113" s="2" t="n">
        <v>6</v>
      </c>
      <c r="K113" s="2" t="inlineStr">
        <is>
          <t>SOLES</t>
        </is>
      </c>
      <c r="L113" s="6" t="n">
        <v>2.9</v>
      </c>
      <c r="M113" s="6">
        <f>IF(OR(J113="",L113=""),"",ROUND(J113*L113,2))</f>
        <v/>
      </c>
      <c r="N113" s="7" t="n">
        <v>46122</v>
      </c>
      <c r="O113" s="4" t="inlineStr">
        <is>
          <t>EXCEL ORIGINAL</t>
        </is>
      </c>
      <c r="P113" s="2">
        <f>IF(OR(K113="",L113=""),"FALTA","OK")</f>
        <v/>
      </c>
    </row>
    <row r="114">
      <c r="A114" s="2" t="n">
        <v>113</v>
      </c>
      <c r="B114" s="3" t="inlineStr">
        <is>
          <t>PROENERGIM-113</t>
        </is>
      </c>
      <c r="C114" s="2" t="inlineStr">
        <is>
          <t>QR INTERNO</t>
        </is>
      </c>
      <c r="D114" s="4" t="inlineStr">
        <is>
          <t>LAS MERCEDES</t>
        </is>
      </c>
      <c r="E114" s="4" t="inlineStr">
        <is>
          <t>EPP</t>
        </is>
      </c>
      <c r="F114" s="5" t="inlineStr">
        <is>
          <t>MANDILES DE CUERO</t>
        </is>
      </c>
      <c r="G114" s="4" t="inlineStr"/>
      <c r="H114" s="4" t="inlineStr"/>
      <c r="I114" s="2" t="inlineStr">
        <is>
          <t>UND</t>
        </is>
      </c>
      <c r="J114" s="2" t="n">
        <v>2</v>
      </c>
      <c r="K114" s="2" t="inlineStr">
        <is>
          <t>SOLES</t>
        </is>
      </c>
      <c r="L114" s="6" t="n">
        <v>15</v>
      </c>
      <c r="M114" s="6">
        <f>IF(OR(J114="",L114=""),"",ROUND(J114*L114,2))</f>
        <v/>
      </c>
      <c r="N114" s="7" t="n">
        <v>46122</v>
      </c>
      <c r="O114" s="4" t="inlineStr">
        <is>
          <t>EXCEL ORIGINAL</t>
        </is>
      </c>
      <c r="P114" s="2">
        <f>IF(OR(K114="",L114=""),"FALTA","OK")</f>
        <v/>
      </c>
    </row>
    <row r="115">
      <c r="A115" s="2" t="n">
        <v>114</v>
      </c>
      <c r="B115" s="3" t="inlineStr">
        <is>
          <t>PROENERGIM-114</t>
        </is>
      </c>
      <c r="C115" s="2" t="inlineStr">
        <is>
          <t>QR INTERNO</t>
        </is>
      </c>
      <c r="D115" s="4" t="inlineStr">
        <is>
          <t>LAS MERCEDES</t>
        </is>
      </c>
      <c r="E115" s="4" t="inlineStr">
        <is>
          <t>EPP</t>
        </is>
      </c>
      <c r="F115" s="5" t="inlineStr">
        <is>
          <t>FAJAS LUMBARES (EPP)</t>
        </is>
      </c>
      <c r="G115" s="4" t="inlineStr"/>
      <c r="H115" s="4" t="inlineStr"/>
      <c r="I115" s="2" t="inlineStr">
        <is>
          <t>UND</t>
        </is>
      </c>
      <c r="J115" s="2" t="n">
        <v>6</v>
      </c>
      <c r="K115" s="2" t="inlineStr">
        <is>
          <t>SOLES</t>
        </is>
      </c>
      <c r="L115" s="6" t="n">
        <v>14</v>
      </c>
      <c r="M115" s="6">
        <f>IF(OR(J115="",L115=""),"",ROUND(J115*L115,2))</f>
        <v/>
      </c>
      <c r="N115" s="7" t="n">
        <v>46122</v>
      </c>
      <c r="O115" s="4" t="inlineStr">
        <is>
          <t>EXCEL ORIGINAL</t>
        </is>
      </c>
      <c r="P115" s="2">
        <f>IF(OR(K115="",L115=""),"FALTA","OK")</f>
        <v/>
      </c>
    </row>
    <row r="116">
      <c r="A116" s="2" t="n">
        <v>115</v>
      </c>
      <c r="B116" s="3" t="inlineStr">
        <is>
          <t>PROENERGIM-115</t>
        </is>
      </c>
      <c r="C116" s="2" t="inlineStr">
        <is>
          <t>QR INTERNO</t>
        </is>
      </c>
      <c r="D116" s="4" t="inlineStr">
        <is>
          <t>LAS MERCEDES</t>
        </is>
      </c>
      <c r="E116" s="4" t="inlineStr">
        <is>
          <t>EPP</t>
        </is>
      </c>
      <c r="F116" s="5" t="inlineStr">
        <is>
          <t>CORTAVIENTOS</t>
        </is>
      </c>
      <c r="G116" s="4" t="inlineStr"/>
      <c r="H116" s="4" t="inlineStr"/>
      <c r="I116" s="2" t="inlineStr">
        <is>
          <t>UND</t>
        </is>
      </c>
      <c r="J116" s="2" t="n">
        <v>6</v>
      </c>
      <c r="K116" s="2" t="inlineStr">
        <is>
          <t>SOLES</t>
        </is>
      </c>
      <c r="L116" s="6" t="n">
        <v>2</v>
      </c>
      <c r="M116" s="6">
        <f>IF(OR(J116="",L116=""),"",ROUND(J116*L116,2))</f>
        <v/>
      </c>
      <c r="N116" s="7" t="n">
        <v>46122</v>
      </c>
      <c r="O116" s="4" t="inlineStr">
        <is>
          <t>EXCEL ORIGINAL</t>
        </is>
      </c>
      <c r="P116" s="2">
        <f>IF(OR(K116="",L116=""),"FALTA","OK")</f>
        <v/>
      </c>
    </row>
    <row r="117">
      <c r="A117" s="2" t="n">
        <v>116</v>
      </c>
      <c r="B117" s="3" t="inlineStr">
        <is>
          <t>PROENERGIM-116</t>
        </is>
      </c>
      <c r="C117" s="2" t="inlineStr">
        <is>
          <t>QR INTERNO</t>
        </is>
      </c>
      <c r="D117" s="4" t="inlineStr">
        <is>
          <t>LAS MERCEDES</t>
        </is>
      </c>
      <c r="E117" s="4" t="inlineStr">
        <is>
          <t>EPP</t>
        </is>
      </c>
      <c r="F117" s="5" t="inlineStr">
        <is>
          <t>PANTALONES T36</t>
        </is>
      </c>
      <c r="G117" s="4" t="inlineStr"/>
      <c r="H117" s="4" t="inlineStr"/>
      <c r="I117" s="2" t="inlineStr">
        <is>
          <t>UND</t>
        </is>
      </c>
      <c r="J117" s="2" t="n">
        <v>10</v>
      </c>
      <c r="K117" s="2" t="inlineStr">
        <is>
          <t>SOLES</t>
        </is>
      </c>
      <c r="L117" s="6" t="n">
        <v>32</v>
      </c>
      <c r="M117" s="6">
        <f>IF(OR(J117="",L117=""),"",ROUND(J117*L117,2))</f>
        <v/>
      </c>
      <c r="N117" s="7" t="n">
        <v>46122</v>
      </c>
      <c r="O117" s="4" t="inlineStr">
        <is>
          <t>EXCEL ORIGINAL</t>
        </is>
      </c>
      <c r="P117" s="2">
        <f>IF(OR(K117="",L117=""),"FALTA","OK")</f>
        <v/>
      </c>
    </row>
    <row r="118">
      <c r="A118" s="2" t="n">
        <v>117</v>
      </c>
      <c r="B118" s="3" t="inlineStr">
        <is>
          <t>PROENERGIM-117</t>
        </is>
      </c>
      <c r="C118" s="2" t="inlineStr">
        <is>
          <t>QR INTERNO</t>
        </is>
      </c>
      <c r="D118" s="4" t="inlineStr">
        <is>
          <t>LAS MERCEDES</t>
        </is>
      </c>
      <c r="E118" s="4" t="inlineStr">
        <is>
          <t>EPP</t>
        </is>
      </c>
      <c r="F118" s="5" t="inlineStr">
        <is>
          <t>PANTALONES T32</t>
        </is>
      </c>
      <c r="G118" s="4" t="inlineStr"/>
      <c r="H118" s="4" t="inlineStr"/>
      <c r="I118" s="2" t="inlineStr">
        <is>
          <t>UND</t>
        </is>
      </c>
      <c r="J118" s="2" t="n">
        <v>10</v>
      </c>
      <c r="K118" s="2" t="inlineStr">
        <is>
          <t>SOLES</t>
        </is>
      </c>
      <c r="L118" s="6" t="n">
        <v>32</v>
      </c>
      <c r="M118" s="6">
        <f>IF(OR(J118="",L118=""),"",ROUND(J118*L118,2))</f>
        <v/>
      </c>
      <c r="N118" s="7" t="n">
        <v>46122</v>
      </c>
      <c r="O118" s="4" t="inlineStr">
        <is>
          <t>EXCEL ORIGINAL</t>
        </is>
      </c>
      <c r="P118" s="2">
        <f>IF(OR(K118="",L118=""),"FALTA","OK")</f>
        <v/>
      </c>
    </row>
    <row r="119">
      <c r="A119" s="2" t="n">
        <v>118</v>
      </c>
      <c r="B119" s="3" t="inlineStr">
        <is>
          <t>PROENERGIM-118</t>
        </is>
      </c>
      <c r="C119" s="2" t="inlineStr">
        <is>
          <t>QR INTERNO</t>
        </is>
      </c>
      <c r="D119" s="4" t="inlineStr">
        <is>
          <t>LAS MERCEDES</t>
        </is>
      </c>
      <c r="E119" s="4" t="inlineStr">
        <is>
          <t>EPP</t>
        </is>
      </c>
      <c r="F119" s="5" t="inlineStr">
        <is>
          <t>PANTALONES T34</t>
        </is>
      </c>
      <c r="G119" s="4" t="inlineStr"/>
      <c r="H119" s="4" t="inlineStr"/>
      <c r="I119" s="2" t="inlineStr">
        <is>
          <t>UND</t>
        </is>
      </c>
      <c r="J119" s="2" t="n">
        <v>8</v>
      </c>
      <c r="K119" s="2" t="inlineStr">
        <is>
          <t>SOLES</t>
        </is>
      </c>
      <c r="L119" s="6" t="n">
        <v>38</v>
      </c>
      <c r="M119" s="6">
        <f>IF(OR(J119="",L119=""),"",ROUND(J119*L119,2))</f>
        <v/>
      </c>
      <c r="N119" s="7" t="n">
        <v>46122</v>
      </c>
      <c r="O119" s="4" t="inlineStr">
        <is>
          <t>EXCEL ORIGINAL</t>
        </is>
      </c>
      <c r="P119" s="2">
        <f>IF(OR(K119="",L119=""),"FALTA","OK")</f>
        <v/>
      </c>
    </row>
    <row r="120">
      <c r="A120" s="2" t="n">
        <v>119</v>
      </c>
      <c r="B120" s="3" t="inlineStr">
        <is>
          <t>PROENERGIM-119</t>
        </is>
      </c>
      <c r="C120" s="2" t="inlineStr">
        <is>
          <t>QR INTERNO</t>
        </is>
      </c>
      <c r="D120" s="4" t="inlineStr">
        <is>
          <t>LAS MERCEDES</t>
        </is>
      </c>
      <c r="E120" s="4" t="inlineStr">
        <is>
          <t>EPP</t>
        </is>
      </c>
      <c r="F120" s="5" t="inlineStr">
        <is>
          <t>POLERAS T-XL</t>
        </is>
      </c>
      <c r="G120" s="4" t="inlineStr"/>
      <c r="H120" s="4" t="inlineStr"/>
      <c r="I120" s="2" t="inlineStr">
        <is>
          <t>UND</t>
        </is>
      </c>
      <c r="J120" s="2" t="n">
        <v>6</v>
      </c>
      <c r="K120" s="2" t="inlineStr">
        <is>
          <t>SOLES</t>
        </is>
      </c>
      <c r="L120" s="6" t="n">
        <v>8</v>
      </c>
      <c r="M120" s="6">
        <f>IF(OR(J120="",L120=""),"",ROUND(J120*L120,2))</f>
        <v/>
      </c>
      <c r="N120" s="7" t="n">
        <v>46122</v>
      </c>
      <c r="O120" s="4" t="inlineStr">
        <is>
          <t>EXCEL ORIGINAL</t>
        </is>
      </c>
      <c r="P120" s="2">
        <f>IF(OR(K120="",L120=""),"FALTA","OK")</f>
        <v/>
      </c>
    </row>
    <row r="121">
      <c r="A121" s="2" t="n">
        <v>120</v>
      </c>
      <c r="B121" s="3" t="inlineStr">
        <is>
          <t>PROENERGIM-120</t>
        </is>
      </c>
      <c r="C121" s="2" t="inlineStr">
        <is>
          <t>QR INTERNO</t>
        </is>
      </c>
      <c r="D121" s="4" t="inlineStr">
        <is>
          <t>LAS MERCEDES</t>
        </is>
      </c>
      <c r="E121" s="4" t="inlineStr">
        <is>
          <t>FERRETERIA</t>
        </is>
      </c>
      <c r="F121" s="5" t="inlineStr">
        <is>
          <t>LINTERNA LED TACTICA DE 15 WATTS COD OP -8112</t>
        </is>
      </c>
      <c r="G121" s="4" t="inlineStr"/>
      <c r="H121" s="4" t="inlineStr"/>
      <c r="I121" s="2" t="inlineStr">
        <is>
          <t>UND</t>
        </is>
      </c>
      <c r="J121" s="2" t="n">
        <v>1</v>
      </c>
      <c r="K121" s="2" t="inlineStr">
        <is>
          <t>SOLES</t>
        </is>
      </c>
      <c r="L121" s="6" t="n">
        <v>90</v>
      </c>
      <c r="M121" s="6">
        <f>IF(OR(J121="",L121=""),"",ROUND(J121*L121,2))</f>
        <v/>
      </c>
      <c r="N121" s="7" t="n">
        <v>46122</v>
      </c>
      <c r="O121" s="4" t="inlineStr">
        <is>
          <t>EXCEL ORIGINAL</t>
        </is>
      </c>
      <c r="P121" s="2">
        <f>IF(OR(K121="",L121=""),"FALTA","OK")</f>
        <v/>
      </c>
    </row>
    <row r="122">
      <c r="A122" s="2" t="n">
        <v>121</v>
      </c>
      <c r="B122" s="3" t="inlineStr">
        <is>
          <t>PROENERGIM-121</t>
        </is>
      </c>
      <c r="C122" s="2" t="inlineStr">
        <is>
          <t>QR INTERNO</t>
        </is>
      </c>
      <c r="D122" s="4" t="inlineStr">
        <is>
          <t>LAS MERCEDES</t>
        </is>
      </c>
      <c r="E122" s="4" t="inlineStr">
        <is>
          <t>EPP</t>
        </is>
      </c>
      <c r="F122" s="5" t="inlineStr">
        <is>
          <t>BLOQUEADOR SOLAR SUGAR SUN 1 LITRO</t>
        </is>
      </c>
      <c r="G122" s="4" t="inlineStr"/>
      <c r="H122" s="4" t="inlineStr"/>
      <c r="I122" s="2" t="inlineStr">
        <is>
          <t>UND</t>
        </is>
      </c>
      <c r="J122" s="2" t="n">
        <v>1</v>
      </c>
      <c r="K122" s="2" t="inlineStr">
        <is>
          <t>SOLES</t>
        </is>
      </c>
      <c r="L122" s="6" t="n">
        <v>65</v>
      </c>
      <c r="M122" s="6">
        <f>IF(OR(J122="",L122=""),"",ROUND(J122*L122,2))</f>
        <v/>
      </c>
      <c r="N122" s="7" t="n">
        <v>46122</v>
      </c>
      <c r="O122" s="4" t="inlineStr">
        <is>
          <t>EXCEL ORIGINAL</t>
        </is>
      </c>
      <c r="P122" s="2">
        <f>IF(OR(K122="",L122=""),"FALTA","OK")</f>
        <v/>
      </c>
    </row>
    <row r="123">
      <c r="A123" s="2" t="n">
        <v>122</v>
      </c>
      <c r="B123" s="3" t="inlineStr">
        <is>
          <t>PROENERGIM-122</t>
        </is>
      </c>
      <c r="C123" s="2" t="inlineStr">
        <is>
          <t>QR INTERNO</t>
        </is>
      </c>
      <c r="D123" s="4" t="inlineStr">
        <is>
          <t>LAS MERCEDES</t>
        </is>
      </c>
      <c r="E123" s="4" t="inlineStr">
        <is>
          <t>EPP</t>
        </is>
      </c>
      <c r="F123" s="5" t="inlineStr">
        <is>
          <t>BOTIQUIN DE PLASTICO GRANDE IMPLEMENTADO</t>
        </is>
      </c>
      <c r="G123" s="4" t="inlineStr"/>
      <c r="H123" s="4" t="inlineStr"/>
      <c r="I123" s="2" t="inlineStr">
        <is>
          <t>UND</t>
        </is>
      </c>
      <c r="J123" s="2" t="n">
        <v>1</v>
      </c>
      <c r="K123" s="2" t="inlineStr">
        <is>
          <t>SOLES</t>
        </is>
      </c>
      <c r="L123" s="6" t="n">
        <v>24</v>
      </c>
      <c r="M123" s="6">
        <f>IF(OR(J123="",L123=""),"",ROUND(J123*L123,2))</f>
        <v/>
      </c>
      <c r="N123" s="7" t="n">
        <v>46122</v>
      </c>
      <c r="O123" s="4" t="inlineStr">
        <is>
          <t>EXCEL ORIGINAL</t>
        </is>
      </c>
      <c r="P123" s="2">
        <f>IF(OR(K123="",L123=""),"FALTA","OK")</f>
        <v/>
      </c>
    </row>
    <row r="124">
      <c r="A124" s="10" t="n">
        <v>123</v>
      </c>
      <c r="B124" s="3" t="inlineStr">
        <is>
          <t>PROENERGIM-123</t>
        </is>
      </c>
      <c r="C124" s="2" t="inlineStr">
        <is>
          <t>QR INTERNO</t>
        </is>
      </c>
      <c r="D124" s="11" t="inlineStr">
        <is>
          <t>POR DEFINIR</t>
        </is>
      </c>
      <c r="E124" s="4" t="inlineStr">
        <is>
          <t>FERRETERIA</t>
        </is>
      </c>
      <c r="F124" s="12" t="inlineStr">
        <is>
          <t>THINNER ACRILICO AMJAS COLORS MASTER A300 3.5L</t>
        </is>
      </c>
      <c r="G124" s="4" t="inlineStr">
        <is>
          <t>AMJAS COLORS</t>
        </is>
      </c>
      <c r="H124" s="4" t="inlineStr">
        <is>
          <t>Acrilico Master A300</t>
        </is>
      </c>
      <c r="I124" s="2" t="inlineStr">
        <is>
          <t>UND</t>
        </is>
      </c>
      <c r="J124" s="9" t="n">
        <v>0</v>
      </c>
      <c r="K124" s="9" t="inlineStr"/>
      <c r="L124" s="6" t="n">
        <v/>
      </c>
      <c r="M124" s="6">
        <f>IF(OR(J124="",L124=""),"",ROUND(J124*L124,2))</f>
        <v/>
      </c>
      <c r="N124" s="7" t="n"/>
      <c r="O124" s="4" t="inlineStr">
        <is>
          <t>NUEVO (FOTOS)</t>
        </is>
      </c>
      <c r="P124" s="2">
        <f>IF(OR(K124="",L124=""),"FALTA","OK")</f>
        <v/>
      </c>
    </row>
    <row r="125">
      <c r="A125" s="10" t="n">
        <v>124</v>
      </c>
      <c r="B125" s="3" t="inlineStr">
        <is>
          <t>PROENERGIM-124</t>
        </is>
      </c>
      <c r="C125" s="2" t="inlineStr">
        <is>
          <t>QR INTERNO</t>
        </is>
      </c>
      <c r="D125" s="11" t="inlineStr">
        <is>
          <t>POR DEFINIR</t>
        </is>
      </c>
      <c r="E125" s="4" t="inlineStr">
        <is>
          <t>EQUIPO</t>
        </is>
      </c>
      <c r="F125" s="12" t="inlineStr">
        <is>
          <t>HIDROLAVADORA PORTATIL KARCHER 1200W</t>
        </is>
      </c>
      <c r="G125" s="4" t="inlineStr">
        <is>
          <t>KARCHER</t>
        </is>
      </c>
      <c r="H125" s="4" t="inlineStr">
        <is>
          <t>Portatil</t>
        </is>
      </c>
      <c r="I125" s="2" t="inlineStr">
        <is>
          <t>UND</t>
        </is>
      </c>
      <c r="J125" s="9" t="n">
        <v>0</v>
      </c>
      <c r="K125" s="9" t="inlineStr"/>
      <c r="L125" s="6" t="n">
        <v/>
      </c>
      <c r="M125" s="6">
        <f>IF(OR(J125="",L125=""),"",ROUND(J125*L125,2))</f>
        <v/>
      </c>
      <c r="N125" s="7" t="n"/>
      <c r="O125" s="4" t="inlineStr">
        <is>
          <t>NUEVO (FOTOS)</t>
        </is>
      </c>
      <c r="P125" s="2">
        <f>IF(OR(K125="",L125=""),"FALTA","OK")</f>
        <v/>
      </c>
    </row>
    <row r="126">
      <c r="A126" s="10" t="n">
        <v>125</v>
      </c>
      <c r="B126" s="3" t="inlineStr">
        <is>
          <t>PROENERGIM-125</t>
        </is>
      </c>
      <c r="C126" s="2" t="inlineStr">
        <is>
          <t>QR INTERNO</t>
        </is>
      </c>
      <c r="D126" s="11" t="inlineStr">
        <is>
          <t>POR DEFINIR</t>
        </is>
      </c>
      <c r="E126" s="4" t="inlineStr">
        <is>
          <t>FERRETERIA</t>
        </is>
      </c>
      <c r="F126" s="12" t="inlineStr">
        <is>
          <t>CAJA DE REGISTRO PARA POZO A TIERRA RODASYGEL</t>
        </is>
      </c>
      <c r="G126" s="4" t="inlineStr">
        <is>
          <t>RODASYgel</t>
        </is>
      </c>
      <c r="H126" s="4" t="inlineStr">
        <is>
          <t>-</t>
        </is>
      </c>
      <c r="I126" s="2" t="inlineStr">
        <is>
          <t>UND</t>
        </is>
      </c>
      <c r="J126" s="9" t="n">
        <v>0</v>
      </c>
      <c r="K126" s="9" t="inlineStr"/>
      <c r="L126" s="6" t="n">
        <v/>
      </c>
      <c r="M126" s="6">
        <f>IF(OR(J126="",L126=""),"",ROUND(J126*L126,2))</f>
        <v/>
      </c>
      <c r="N126" s="7" t="n"/>
      <c r="O126" s="4" t="inlineStr">
        <is>
          <t>NUEVO (FOTOS)</t>
        </is>
      </c>
      <c r="P126" s="2">
        <f>IF(OR(K126="",L126=""),"FALTA","OK")</f>
        <v/>
      </c>
    </row>
    <row r="127">
      <c r="A127" s="10" t="n">
        <v>126</v>
      </c>
      <c r="B127" s="3" t="inlineStr">
        <is>
          <t>7316577045270</t>
        </is>
      </c>
      <c r="C127" s="2" t="inlineStr">
        <is>
          <t>FABRICA</t>
        </is>
      </c>
      <c r="D127" s="11" t="inlineStr">
        <is>
          <t>POR DEFINIR</t>
        </is>
      </c>
      <c r="E127" s="4" t="inlineStr">
        <is>
          <t>FERRETERIA</t>
        </is>
      </c>
      <c r="F127" s="12" t="inlineStr">
        <is>
          <t>GRASA MULTIPROPOSITO SKF LGMT 3</t>
        </is>
      </c>
      <c r="G127" s="4" t="inlineStr">
        <is>
          <t>SKF</t>
        </is>
      </c>
      <c r="H127" s="4" t="inlineStr">
        <is>
          <t>LGMT 3</t>
        </is>
      </c>
      <c r="I127" s="2" t="inlineStr">
        <is>
          <t>UND</t>
        </is>
      </c>
      <c r="J127" s="9" t="n">
        <v>0</v>
      </c>
      <c r="K127" s="9" t="inlineStr"/>
      <c r="L127" s="6" t="n">
        <v/>
      </c>
      <c r="M127" s="6">
        <f>IF(OR(J127="",L127=""),"",ROUND(J127*L127,2))</f>
        <v/>
      </c>
      <c r="N127" s="7" t="n"/>
      <c r="O127" s="4" t="inlineStr">
        <is>
          <t>NUEVO (FOTOS)</t>
        </is>
      </c>
      <c r="P127" s="2">
        <f>IF(OR(K127="",L127=""),"FALTA","OK")</f>
        <v/>
      </c>
    </row>
    <row r="128">
      <c r="A128" s="10" t="n">
        <v>127</v>
      </c>
      <c r="B128" s="3" t="inlineStr">
        <is>
          <t>7807999397516</t>
        </is>
      </c>
      <c r="C128" s="2" t="inlineStr">
        <is>
          <t>FABRICA</t>
        </is>
      </c>
      <c r="D128" s="11" t="inlineStr">
        <is>
          <t>POR DEFINIR</t>
        </is>
      </c>
      <c r="E128" s="4" t="inlineStr">
        <is>
          <t>FERRETERIA</t>
        </is>
      </c>
      <c r="F128" s="12" t="inlineStr">
        <is>
          <t>ESPUMA DE POLIURETANO EN AEROSOL 750ML</t>
        </is>
      </c>
      <c r="G128" s="4" t="inlineStr">
        <is>
          <t>-</t>
        </is>
      </c>
      <c r="H128" s="4" t="inlineStr">
        <is>
          <t>Espuma PU 750ml</t>
        </is>
      </c>
      <c r="I128" s="2" t="inlineStr">
        <is>
          <t>UND</t>
        </is>
      </c>
      <c r="J128" s="9" t="n">
        <v>0</v>
      </c>
      <c r="K128" s="9" t="inlineStr"/>
      <c r="L128" s="6" t="n">
        <v/>
      </c>
      <c r="M128" s="6">
        <f>IF(OR(J128="",L128=""),"",ROUND(J128*L128,2))</f>
        <v/>
      </c>
      <c r="N128" s="7" t="n"/>
      <c r="O128" s="4" t="inlineStr">
        <is>
          <t>NUEVO (FOTOS)</t>
        </is>
      </c>
      <c r="P128" s="2">
        <f>IF(OR(K128="",L128=""),"FALTA","OK")</f>
        <v/>
      </c>
    </row>
    <row r="129">
      <c r="A129" s="10" t="n">
        <v>128</v>
      </c>
      <c r="B129" s="3" t="inlineStr">
        <is>
          <t>7807999397509</t>
        </is>
      </c>
      <c r="C129" s="2" t="inlineStr">
        <is>
          <t>FABRICA</t>
        </is>
      </c>
      <c r="D129" s="11" t="inlineStr">
        <is>
          <t>POR DEFINIR</t>
        </is>
      </c>
      <c r="E129" s="4" t="inlineStr">
        <is>
          <t>FERRETERIA</t>
        </is>
      </c>
      <c r="F129" s="12" t="inlineStr">
        <is>
          <t>ESPUMA DE POLIURETANO EN AEROSOL 340ML</t>
        </is>
      </c>
      <c r="G129" s="4" t="inlineStr">
        <is>
          <t>-</t>
        </is>
      </c>
      <c r="H129" s="4" t="inlineStr">
        <is>
          <t>Espuma PU 340ml</t>
        </is>
      </c>
      <c r="I129" s="2" t="inlineStr">
        <is>
          <t>UND</t>
        </is>
      </c>
      <c r="J129" s="9" t="n">
        <v>0</v>
      </c>
      <c r="K129" s="9" t="inlineStr"/>
      <c r="L129" s="6" t="n">
        <v/>
      </c>
      <c r="M129" s="6">
        <f>IF(OR(J129="",L129=""),"",ROUND(J129*L129,2))</f>
        <v/>
      </c>
      <c r="N129" s="7" t="n"/>
      <c r="O129" s="4" t="inlineStr">
        <is>
          <t>NUEVO (FOTOS)</t>
        </is>
      </c>
      <c r="P129" s="2">
        <f>IF(OR(K129="",L129=""),"FALTA","OK")</f>
        <v/>
      </c>
    </row>
    <row r="130">
      <c r="A130" s="10" t="n">
        <v>129</v>
      </c>
      <c r="B130" s="3" t="inlineStr">
        <is>
          <t>PROENERGIM-129</t>
        </is>
      </c>
      <c r="C130" s="2" t="inlineStr">
        <is>
          <t>QR INTERNO</t>
        </is>
      </c>
      <c r="D130" s="11" t="inlineStr">
        <is>
          <t>POR DEFINIR</t>
        </is>
      </c>
      <c r="E130" s="4" t="inlineStr">
        <is>
          <t>FERRETERIA</t>
        </is>
      </c>
      <c r="F130" s="12" t="inlineStr">
        <is>
          <t>SOLVENTE DIELECTRICO ECOLOGICO CGS SOLVO-50</t>
        </is>
      </c>
      <c r="G130" s="4" t="inlineStr">
        <is>
          <t>CGS</t>
        </is>
      </c>
      <c r="H130" s="4" t="inlineStr">
        <is>
          <t>Solvo-50 (SD-002-1)</t>
        </is>
      </c>
      <c r="I130" s="2" t="inlineStr">
        <is>
          <t>UND</t>
        </is>
      </c>
      <c r="J130" s="9" t="n">
        <v>0</v>
      </c>
      <c r="K130" s="9" t="inlineStr"/>
      <c r="L130" s="6" t="n">
        <v/>
      </c>
      <c r="M130" s="6">
        <f>IF(OR(J130="",L130=""),"",ROUND(J130*L130,2))</f>
        <v/>
      </c>
      <c r="N130" s="7" t="n"/>
      <c r="O130" s="4" t="inlineStr">
        <is>
          <t>NUEVO (FOTOS)</t>
        </is>
      </c>
      <c r="P130" s="2">
        <f>IF(OR(K130="",L130=""),"FALTA","OK")</f>
        <v/>
      </c>
    </row>
    <row r="131">
      <c r="A131" s="10" t="n">
        <v>130</v>
      </c>
      <c r="B131" s="3" t="inlineStr">
        <is>
          <t>6942160486215</t>
        </is>
      </c>
      <c r="C131" s="2" t="inlineStr">
        <is>
          <t>FABRICA</t>
        </is>
      </c>
      <c r="D131" s="11" t="inlineStr">
        <is>
          <t>POR DEFINIR</t>
        </is>
      </c>
      <c r="E131" s="4" t="inlineStr">
        <is>
          <t>EQUIPO</t>
        </is>
      </c>
      <c r="F131" s="12" t="inlineStr">
        <is>
          <t>UPS HIKVISION DS-UPS600</t>
        </is>
      </c>
      <c r="G131" s="4" t="inlineStr">
        <is>
          <t>HIKVISION</t>
        </is>
      </c>
      <c r="H131" s="4" t="inlineStr">
        <is>
          <t>DS-UPS600-x</t>
        </is>
      </c>
      <c r="I131" s="2" t="inlineStr">
        <is>
          <t>UND</t>
        </is>
      </c>
      <c r="J131" s="9" t="n">
        <v>0</v>
      </c>
      <c r="K131" s="9" t="inlineStr"/>
      <c r="L131" s="6" t="n">
        <v/>
      </c>
      <c r="M131" s="6">
        <f>IF(OR(J131="",L131=""),"",ROUND(J131*L131,2))</f>
        <v/>
      </c>
      <c r="N131" s="7" t="n"/>
      <c r="O131" s="4" t="inlineStr">
        <is>
          <t>NUEVO (FOTOS)</t>
        </is>
      </c>
      <c r="P131" s="2">
        <f>IF(OR(K131="",L131=""),"FALTA","OK")</f>
        <v/>
      </c>
    </row>
    <row r="132">
      <c r="A132" s="10" t="n">
        <v>131</v>
      </c>
      <c r="B132" s="3" t="inlineStr">
        <is>
          <t>PROENERGIM-131</t>
        </is>
      </c>
      <c r="C132" s="2" t="inlineStr">
        <is>
          <t>QR INTERNO</t>
        </is>
      </c>
      <c r="D132" s="11" t="inlineStr">
        <is>
          <t>POR DEFINIR</t>
        </is>
      </c>
      <c r="E132" s="4" t="inlineStr">
        <is>
          <t>FERRETERIA</t>
        </is>
      </c>
      <c r="F132" s="12" t="inlineStr">
        <is>
          <t>CRIMPADORA / PONCHADORA DE TERMINALES ELECTRICOS</t>
        </is>
      </c>
      <c r="G132" s="4" t="inlineStr">
        <is>
          <t>-</t>
        </is>
      </c>
      <c r="H132" s="4" t="inlineStr">
        <is>
          <t>Crimpadora de terminales</t>
        </is>
      </c>
      <c r="I132" s="2" t="inlineStr">
        <is>
          <t>UND</t>
        </is>
      </c>
      <c r="J132" s="9" t="n">
        <v>0</v>
      </c>
      <c r="K132" s="9" t="inlineStr"/>
      <c r="L132" s="6" t="n">
        <v/>
      </c>
      <c r="M132" s="6">
        <f>IF(OR(J132="",L132=""),"",ROUND(J132*L132,2))</f>
        <v/>
      </c>
      <c r="N132" s="7" t="n"/>
      <c r="O132" s="4" t="inlineStr">
        <is>
          <t>NUEVO (FOTOS)</t>
        </is>
      </c>
      <c r="P132" s="2">
        <f>IF(OR(K132="",L132=""),"FALTA","OK")</f>
        <v/>
      </c>
    </row>
    <row r="133">
      <c r="A133" s="10" t="n">
        <v>132</v>
      </c>
      <c r="B133" s="3" t="inlineStr">
        <is>
          <t>PROENERGIM-132</t>
        </is>
      </c>
      <c r="C133" s="2" t="inlineStr">
        <is>
          <t>QR INTERNO</t>
        </is>
      </c>
      <c r="D133" s="11" t="inlineStr">
        <is>
          <t>POR DEFINIR</t>
        </is>
      </c>
      <c r="E133" s="4" t="inlineStr">
        <is>
          <t>FERRETERIA</t>
        </is>
      </c>
      <c r="F133" s="12" t="inlineStr">
        <is>
          <t>CRIMPADORA DE RED RJ45 KAMASA KM-049</t>
        </is>
      </c>
      <c r="G133" s="4" t="inlineStr">
        <is>
          <t>KAMASA Professional</t>
        </is>
      </c>
      <c r="H133" s="4" t="inlineStr">
        <is>
          <t>KM-049</t>
        </is>
      </c>
      <c r="I133" s="2" t="inlineStr">
        <is>
          <t>UND</t>
        </is>
      </c>
      <c r="J133" s="9" t="n">
        <v>0</v>
      </c>
      <c r="K133" s="9" t="inlineStr"/>
      <c r="L133" s="6" t="n">
        <v/>
      </c>
      <c r="M133" s="6">
        <f>IF(OR(J133="",L133=""),"",ROUND(J133*L133,2))</f>
        <v/>
      </c>
      <c r="N133" s="7" t="n"/>
      <c r="O133" s="4" t="inlineStr">
        <is>
          <t>NUEVO (FOTOS)</t>
        </is>
      </c>
      <c r="P133" s="2">
        <f>IF(OR(K133="",L133=""),"FALTA","OK")</f>
        <v/>
      </c>
    </row>
  </sheetData>
  <autoFilter ref="A1:P133"/>
  <dataValidations count="3">
    <dataValidation sqref="D2:D133" showDropDown="0" showInputMessage="0" showErrorMessage="0" allowBlank="1" type="list">
      <formula1>"IMPORTADOS,LAS MERCEDES,ALMACEN 2,POR DEFINIR"</formula1>
    </dataValidation>
    <dataValidation sqref="K2:K133" showDropDown="0" showInputMessage="0" showErrorMessage="0" allowBlank="1" type="list">
      <formula1>"SOLES,DOLARES"</formula1>
    </dataValidation>
    <dataValidation sqref="E2:E133" showDropDown="0" showInputMessage="0" showErrorMessage="0" allowBlank="1" type="list">
      <formula1>"EQUIPO,FERRETERIA,EPP"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</cols>
  <sheetData>
    <row r="1">
      <c r="A1" s="13" t="inlineStr">
        <is>
          <t>RESUMEN DE COSTOS — bd_v2</t>
        </is>
      </c>
    </row>
    <row r="3">
      <c r="A3" s="14" t="inlineStr">
        <is>
          <t>Productos totales</t>
        </is>
      </c>
      <c r="B3" s="14">
        <f>COUNTA(INVENTARIO!A2:A133)</f>
        <v/>
      </c>
    </row>
    <row r="4">
      <c r="A4" s="15" t="inlineStr">
        <is>
          <t xml:space="preserve">   del Excel original</t>
        </is>
      </c>
      <c r="B4" s="15">
        <f>COUNTIF(INVENTARIO!O2:O133,"EXCEL ORIGINAL")</f>
        <v/>
      </c>
    </row>
    <row r="5">
      <c r="A5" s="15" t="inlineStr">
        <is>
          <t xml:space="preserve">   nuevos (hallados en las fotos)</t>
        </is>
      </c>
      <c r="B5" s="15">
        <f>COUNTIF(INVENTARIO!O2:O133,"NUEVO (FOTOS)")</f>
        <v/>
      </c>
    </row>
    <row r="7">
      <c r="A7" s="14" t="inlineStr">
        <is>
          <t>Con costo cargado</t>
        </is>
      </c>
      <c r="B7" s="14">
        <f>COUNTIF(INVENTARIO!P2:P133,"OK")</f>
        <v/>
      </c>
    </row>
    <row r="8">
      <c r="A8" s="14" t="inlineStr">
        <is>
          <t>FALTA costo o moneda</t>
        </is>
      </c>
      <c r="B8" s="14">
        <f>COUNTIF(INVENTARIO!P2:P133,"FALTA")</f>
        <v/>
      </c>
    </row>
    <row r="10">
      <c r="A10" s="14" t="inlineStr">
        <is>
          <t>VALORIZADO (solo lo que ya tiene costo)</t>
        </is>
      </c>
    </row>
    <row r="11">
      <c r="A11" s="15" t="inlineStr">
        <is>
          <t xml:space="preserve">   Total en DOLARES</t>
        </is>
      </c>
      <c r="B11" s="16">
        <f>SUMIF(INVENTARIO!K2:K133,"DOLARES",INVENTARIO!M2:M133)</f>
        <v/>
      </c>
    </row>
    <row r="12">
      <c r="A12" s="15" t="inlineStr">
        <is>
          <t xml:space="preserve">   Total en SOLES</t>
        </is>
      </c>
      <c r="B12" s="17">
        <f>SUMIF(INVENTARIO!K2:K133,"SOLES",INVENTARIO!M2:M133)</f>
        <v/>
      </c>
    </row>
    <row r="14">
      <c r="A14" s="14" t="inlineStr">
        <is>
          <t>POR ALMACEN</t>
        </is>
      </c>
      <c r="B14" s="14" t="inlineStr">
        <is>
          <t>Productos</t>
        </is>
      </c>
      <c r="C14" s="14" t="inlineStr">
        <is>
          <t>Con costo</t>
        </is>
      </c>
      <c r="D14" s="14" t="inlineStr">
        <is>
          <t>Falta</t>
        </is>
      </c>
    </row>
    <row r="15">
      <c r="A15" t="inlineStr">
        <is>
          <t>IMPORTADOS</t>
        </is>
      </c>
      <c r="B15">
        <f>COUNTIF(INVENTARIO!D2:D133,"IMPORTADOS")</f>
        <v/>
      </c>
      <c r="C15">
        <f>COUNTIFS(INVENTARIO!D2:D133,"IMPORTADOS",INVENTARIO!P2:P133,"OK")</f>
        <v/>
      </c>
      <c r="D15">
        <f>COUNTIFS(INVENTARIO!D2:D133,"IMPORTADOS",INVENTARIO!P2:P133,"FALTA")</f>
        <v/>
      </c>
    </row>
    <row r="16">
      <c r="A16" t="inlineStr">
        <is>
          <t>LAS MERCEDES</t>
        </is>
      </c>
      <c r="B16">
        <f>COUNTIF(INVENTARIO!D2:D133,"LAS MERCEDES")</f>
        <v/>
      </c>
      <c r="C16">
        <f>COUNTIFS(INVENTARIO!D2:D133,"LAS MERCEDES",INVENTARIO!P2:P133,"OK")</f>
        <v/>
      </c>
      <c r="D16">
        <f>COUNTIFS(INVENTARIO!D2:D133,"LAS MERCEDES",INVENTARIO!P2:P133,"FALTA")</f>
        <v/>
      </c>
    </row>
    <row r="17">
      <c r="A17" t="inlineStr">
        <is>
          <t>ALMACEN 2</t>
        </is>
      </c>
      <c r="B17">
        <f>COUNTIF(INVENTARIO!D2:D133,"ALMACEN 2")</f>
        <v/>
      </c>
      <c r="C17">
        <f>COUNTIFS(INVENTARIO!D2:D133,"ALMACEN 2",INVENTARIO!P2:P133,"OK")</f>
        <v/>
      </c>
      <c r="D17">
        <f>COUNTIFS(INVENTARIO!D2:D133,"ALMACEN 2",INVENTARIO!P2:P133,"FALTA")</f>
        <v/>
      </c>
    </row>
    <row r="18">
      <c r="A18" t="inlineStr">
        <is>
          <t>POR DEFINIR</t>
        </is>
      </c>
      <c r="B18">
        <f>COUNTIF(INVENTARIO!D2:D133,"POR DEFINIR")</f>
        <v/>
      </c>
      <c r="C18">
        <f>COUNTIFS(INVENTARIO!D2:D133,"POR DEFINIR",INVENTARIO!P2:P133,"OK")</f>
        <v/>
      </c>
      <c r="D18">
        <f>COUNTIFS(INVENTARIO!D2:D133,"POR DEFINIR",INVENTARIO!P2:P133,"FALTA")</f>
        <v/>
      </c>
    </row>
    <row r="21">
      <c r="A21" s="18" t="inlineStr">
        <is>
          <t>COMO COMPLETARLO</t>
        </is>
      </c>
    </row>
    <row r="22">
      <c r="A22" t="inlineStr">
        <is>
          <t>•  Las celdas AMARILLAS son las que hay que llenar: MONEDA, CU y, en los nuevos, ALMACEN y STOCK.</t>
        </is>
      </c>
    </row>
    <row r="23">
      <c r="A23" t="inlineStr">
        <is>
          <t>•  CP y ESTADO se calculan solos con formula: no los edites.</t>
        </is>
      </c>
    </row>
    <row r="24">
      <c r="A24" t="inlineStr">
        <is>
          <t>•  ALMACEN, TIPO y MONEDA tienen lista desplegable.</t>
        </is>
      </c>
    </row>
    <row r="25">
      <c r="A25" t="inlineStr">
        <is>
          <t>•  Los ITEM con fondo NARANJA traen datos raros del Excel original: mira la hoja REVISAR.</t>
        </is>
      </c>
    </row>
    <row r="26">
      <c r="A26" t="inlineStr">
        <is>
          <t>•  Los productos con fondo VERDE son los 10 que no estaban en el Excel y si estan en la base.</t>
        </is>
      </c>
    </row>
    <row r="27">
      <c r="A27" t="inlineStr">
        <is>
          <t>•  No sumes DOLARES con SOLES: por eso el valorizado esta separado por moneda.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70" customWidth="1" min="3" max="3"/>
  </cols>
  <sheetData>
    <row r="1">
      <c r="A1" s="19" t="inlineStr">
        <is>
          <t>ITEM</t>
        </is>
      </c>
      <c r="B1" s="19" t="inlineStr">
        <is>
          <t>PRODUCTO</t>
        </is>
      </c>
      <c r="C1" s="19" t="inlineStr">
        <is>
          <t>QUE PASA</t>
        </is>
      </c>
    </row>
    <row r="2">
      <c r="A2" s="20" t="n">
        <v>16</v>
      </c>
      <c r="B2" t="inlineStr">
        <is>
          <t>Repuestos (2,2 kW, 5,5 kW, 11 kW)</t>
        </is>
      </c>
      <c r="C2" s="21" t="inlineStr">
        <is>
          <t>STOCK 0.04 y CP 4.00 no cuadran con CU 0.04: las columnas parecen corridas en el origen</t>
        </is>
      </c>
    </row>
    <row r="3">
      <c r="A3" s="20" t="n">
        <v>29</v>
      </c>
      <c r="B3" t="inlineStr">
        <is>
          <t>PERNOS DE DOS GROSORES DOS CAJAS</t>
        </is>
      </c>
      <c r="C3" s="21" t="inlineStr">
        <is>
          <t>sin unidad de medida (UM) en el Excel original</t>
        </is>
      </c>
    </row>
    <row r="4">
      <c r="A4" s="20" t="n">
        <v>72</v>
      </c>
      <c r="B4" t="inlineStr">
        <is>
          <t>PUNTERAS</t>
        </is>
      </c>
      <c r="C4" s="21" t="inlineStr">
        <is>
          <t>sin STOCK en el Excel original</t>
        </is>
      </c>
    </row>
    <row r="5">
      <c r="A5" s="20" t="n">
        <v>74</v>
      </c>
      <c r="B5" t="inlineStr">
        <is>
          <t>NIVEL DE MANO</t>
        </is>
      </c>
      <c r="C5" s="21" t="inlineStr">
        <is>
          <t>la MONEDA decia "NO SIRVE" (parece el estado del equipo, no una moneda)</t>
        </is>
      </c>
    </row>
    <row r="6">
      <c r="A6" s="20" t="n">
        <v>78</v>
      </c>
      <c r="B6" t="inlineStr">
        <is>
          <t>SOGA</t>
        </is>
      </c>
      <c r="C6" s="21" t="inlineStr">
        <is>
          <t>sin STOCK en el Excel 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2026-09-09T15:17:24Z</dcterms:created>
  <dcterms:modified xsi:type="dcterms:W3CDTF">2026-09-09T15:17:24Z</dcterms:modified>
</cp:coreProperties>
</file>